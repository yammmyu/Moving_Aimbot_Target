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BOM" sheetId="3" state="visible" r:id="rId3"/>
    <sheet xmlns:r="http://schemas.openxmlformats.org/officeDocument/2006/relationships" name="Risks" sheetId="4" state="visible" r:id="rId4"/>
    <sheet xmlns:r="http://schemas.openxmlformats.org/officeDocument/2006/relationships" name="Metrics" sheetId="5" state="visible" r:id="rId5"/>
    <sheet xmlns:r="http://schemas.openxmlformats.org/officeDocument/2006/relationships" name="Open Questions" sheetId="6" state="visible" r:id="rId6"/>
    <sheet xmlns:r="http://schemas.openxmlformats.org/officeDocument/2006/relationships" name="Sync Budg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-mmm"/>
    <numFmt numFmtId="166" formatCode="$#,##0"/>
    <numFmt numFmtId="167" formatCode="0.0"/>
    <numFmt numFmtId="168" formatCode="0.000"/>
  </numFmts>
  <fonts count="19">
    <font>
      <name val="Calibri"/>
      <family val="2"/>
      <color theme="1"/>
      <sz val="11"/>
      <scheme val="minor"/>
    </font>
    <font>
      <name val="Arial"/>
      <b val="1"/>
      <color rgb="001A3A5C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843C0C"/>
      <sz val="10"/>
    </font>
    <font>
      <name val="Arial"/>
      <i val="1"/>
      <sz val="9"/>
    </font>
    <font>
      <name val="Arial"/>
      <b val="1"/>
      <color rgb="000000FF"/>
      <sz val="10"/>
    </font>
    <font>
      <name val="Arial"/>
      <b val="1"/>
      <i val="1"/>
      <color rgb="009C0006"/>
      <sz val="9"/>
    </font>
    <font>
      <name val="Arial"/>
      <i val="1"/>
      <color rgb="009C0006"/>
      <sz val="9"/>
    </font>
    <font>
      <name val="Arial"/>
      <b val="1"/>
      <color rgb="001A3A5C"/>
      <sz val="11"/>
    </font>
    <font>
      <name val="Arial"/>
      <color rgb="00000000"/>
      <sz val="10"/>
    </font>
    <font>
      <name val="Arial"/>
      <color rgb="000000FF"/>
      <sz val="10"/>
    </font>
    <font>
      <name val="Arial"/>
      <i val="1"/>
      <color rgb="00843C0C"/>
      <sz val="9"/>
    </font>
    <font>
      <name val="Arial"/>
      <b val="1"/>
      <color rgb="00000000"/>
      <sz val="10"/>
    </font>
    <font>
      <name val="Arial"/>
      <i val="1"/>
      <color rgb="009C0006"/>
      <sz val="10"/>
    </font>
    <font>
      <name val="Arial"/>
      <b val="1"/>
      <sz val="9"/>
    </font>
    <font>
      <name val="Arial"/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2F6F9"/>
      </patternFill>
    </fill>
    <fill>
      <patternFill patternType="solid">
        <fgColor rgb="00FCE4D6"/>
      </patternFill>
    </fill>
    <fill>
      <patternFill patternType="solid">
        <fgColor rgb="00FFFFCC"/>
      </patternFill>
    </fill>
    <fill>
      <patternFill patternType="solid">
        <fgColor rgb="00DCE6EF"/>
      </patternFill>
    </fill>
  </fills>
  <borders count="2">
    <border>
      <left/>
      <right/>
      <top/>
      <bottom/>
      <diagonal/>
    </border>
    <border>
      <left style="thin">
        <color rgb="00B8C6D2"/>
      </left>
      <right style="thin">
        <color rgb="00B8C6D2"/>
      </right>
      <top style="thin">
        <color rgb="00B8C6D2"/>
      </top>
      <bottom style="thin">
        <color rgb="00B8C6D2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165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center" vertical="top"/>
    </xf>
    <xf numFmtId="165" fontId="5" fillId="3" borderId="1" applyAlignment="1" pivotButton="0" quotePrefix="0" xfId="0">
      <alignment horizontal="center" vertical="top"/>
    </xf>
    <xf numFmtId="0" fontId="5" fillId="3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/>
    </xf>
    <xf numFmtId="0" fontId="6" fillId="4" borderId="1" applyAlignment="1" pivotButton="0" quotePrefix="0" xfId="0">
      <alignment horizontal="center" vertical="top"/>
    </xf>
    <xf numFmtId="165" fontId="6" fillId="4" borderId="1" applyAlignment="1" pivotButton="0" quotePrefix="0" xfId="0">
      <alignment horizontal="center" vertical="top"/>
    </xf>
    <xf numFmtId="0" fontId="6" fillId="4" borderId="1" applyAlignment="1" pivotButton="0" quotePrefix="0" xfId="0">
      <alignment vertical="top" wrapText="1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5" fillId="0" borderId="0" pivotButton="0" quotePrefix="0" xfId="0"/>
    <xf numFmtId="0" fontId="5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0" fontId="5" fillId="0" borderId="1" pivotButton="0" quotePrefix="0" xfId="0"/>
    <xf numFmtId="9" fontId="5" fillId="0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12" fillId="0" borderId="1" applyAlignment="1" pivotButton="0" quotePrefix="0" xfId="0">
      <alignment horizontal="general" vertical="top"/>
    </xf>
    <xf numFmtId="0" fontId="12" fillId="0" borderId="1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center" vertical="top"/>
    </xf>
    <xf numFmtId="0" fontId="13" fillId="0" borderId="1" applyAlignment="1" pivotButton="0" quotePrefix="0" xfId="0">
      <alignment horizontal="center" vertical="top"/>
    </xf>
    <xf numFmtId="166" fontId="13" fillId="0" borderId="1" applyAlignment="1" pivotButton="0" quotePrefix="0" xfId="0">
      <alignment horizontal="general" vertical="top"/>
    </xf>
    <xf numFmtId="166" fontId="12" fillId="0" borderId="1" applyAlignment="1" pivotButton="0" quotePrefix="0" xfId="0">
      <alignment horizontal="general" vertical="top"/>
    </xf>
    <xf numFmtId="0" fontId="12" fillId="3" borderId="1" applyAlignment="1" pivotButton="0" quotePrefix="0" xfId="0">
      <alignment horizontal="general" vertical="top"/>
    </xf>
    <xf numFmtId="0" fontId="12" fillId="3" borderId="1" applyAlignment="1" pivotButton="0" quotePrefix="0" xfId="0">
      <alignment horizontal="general" vertical="top" wrapText="1"/>
    </xf>
    <xf numFmtId="0" fontId="12" fillId="3" borderId="1" applyAlignment="1" pivotButton="0" quotePrefix="0" xfId="0">
      <alignment horizontal="center" vertical="top"/>
    </xf>
    <xf numFmtId="0" fontId="13" fillId="3" borderId="1" applyAlignment="1" pivotButton="0" quotePrefix="0" xfId="0">
      <alignment horizontal="center" vertical="top"/>
    </xf>
    <xf numFmtId="166" fontId="13" fillId="3" borderId="1" applyAlignment="1" pivotButton="0" quotePrefix="0" xfId="0">
      <alignment horizontal="general" vertical="top"/>
    </xf>
    <xf numFmtId="166" fontId="12" fillId="3" borderId="1" applyAlignment="1" pivotButton="0" quotePrefix="0" xfId="0">
      <alignment horizontal="general" vertical="top"/>
    </xf>
    <xf numFmtId="166" fontId="4" fillId="0" borderId="1" pivotButton="0" quotePrefix="0" xfId="0"/>
    <xf numFmtId="166" fontId="5" fillId="0" borderId="1" pivotButton="0" quotePrefix="0" xfId="0"/>
    <xf numFmtId="166" fontId="13" fillId="0" borderId="1" pivotButton="0" quotePrefix="0" xfId="0"/>
    <xf numFmtId="0" fontId="14" fillId="0" borderId="0" pivotButton="0" quotePrefix="0" xfId="0"/>
    <xf numFmtId="0" fontId="15" fillId="0" borderId="1" applyAlignment="1" pivotButton="0" quotePrefix="0" xfId="0">
      <alignment horizontal="center" vertical="top"/>
    </xf>
    <xf numFmtId="0" fontId="15" fillId="3" borderId="1" applyAlignment="1" pivotButton="0" quotePrefix="0" xfId="0">
      <alignment horizontal="center" vertical="top"/>
    </xf>
    <xf numFmtId="0" fontId="13" fillId="0" borderId="1" applyAlignment="1" pivotButton="0" quotePrefix="0" xfId="0">
      <alignment horizontal="general" vertical="top" wrapText="1"/>
    </xf>
    <xf numFmtId="0" fontId="13" fillId="3" borderId="1" applyAlignment="1" pivotButton="0" quotePrefix="0" xfId="0">
      <alignment horizontal="general" vertical="top" wrapText="1"/>
    </xf>
    <xf numFmtId="167" fontId="8" fillId="5" borderId="1" applyAlignment="1" pivotButton="0" quotePrefix="0" xfId="0">
      <alignment horizontal="center"/>
    </xf>
    <xf numFmtId="168" fontId="8" fillId="5" borderId="1" applyAlignment="1" pivotButton="0" quotePrefix="0" xfId="0">
      <alignment horizontal="center"/>
    </xf>
    <xf numFmtId="3" fontId="8" fillId="5" borderId="1" applyAlignment="1" pivotButton="0" quotePrefix="0" xfId="0">
      <alignment horizontal="center"/>
    </xf>
    <xf numFmtId="2" fontId="8" fillId="5" borderId="1" applyAlignment="1" pivotButton="0" quotePrefix="0" xfId="0">
      <alignment horizontal="center"/>
    </xf>
    <xf numFmtId="3" fontId="5" fillId="0" borderId="1" applyAlignment="1" pivotButton="0" quotePrefix="0" xfId="0">
      <alignment horizontal="center"/>
    </xf>
    <xf numFmtId="168" fontId="5" fillId="0" borderId="1" applyAlignment="1" pivotButton="0" quotePrefix="0" xfId="0">
      <alignment horizontal="center"/>
    </xf>
    <xf numFmtId="168" fontId="4" fillId="0" borderId="1" applyAlignment="1" pivotButton="0" quotePrefix="0" xfId="0">
      <alignment horizontal="center"/>
    </xf>
    <xf numFmtId="0" fontId="16" fillId="0" borderId="0" pivotButton="0" quotePrefix="0" xfId="0"/>
    <xf numFmtId="0" fontId="18" fillId="2" borderId="1" applyAlignment="1" pivotButton="0" quotePrefix="0" xfId="0">
      <alignment horizontal="center" vertical="center" wrapText="1"/>
    </xf>
    <xf numFmtId="2" fontId="3" fillId="2" borderId="1" applyAlignment="1" pivotButton="0" quotePrefix="0" xfId="0">
      <alignment horizontal="center"/>
    </xf>
    <xf numFmtId="167" fontId="4" fillId="6" borderId="1" applyAlignment="1" pivotButton="0" quotePrefix="0" xfId="0">
      <alignment horizontal="center"/>
    </xf>
    <xf numFmtId="2" fontId="5" fillId="0" borderId="1" applyAlignment="1" pivotButton="0" quotePrefix="0" xfId="0">
      <alignment horizontal="center"/>
    </xf>
  </cellXfs>
  <cellStyles count="1">
    <cellStyle name="Normal" xfId="0" builtinId="0" hidden="0"/>
  </cellStyles>
  <dxfs count="7">
    <dxf>
      <font>
        <name val="Arial"/>
        <color rgb="00006100"/>
        <sz val="10"/>
      </font>
      <fill>
        <patternFill patternType="solid">
          <fgColor rgb="00C6EFCE"/>
        </patternFill>
      </fill>
    </dxf>
    <dxf>
      <font>
        <name val="Arial"/>
        <color rgb="009C0006"/>
        <sz val="10"/>
      </font>
      <fill>
        <patternFill patternType="solid">
          <fgColor rgb="00FFC7CE"/>
        </patternFill>
      </fill>
    </dxf>
    <dxf>
      <font>
        <name val="Arial"/>
        <color rgb="009C6500"/>
        <sz val="10"/>
      </font>
      <fill>
        <patternFill patternType="solid">
          <fgColor rgb="00FFEB9C"/>
        </patternFill>
      </fill>
    </dxf>
    <dxf>
      <font>
        <name val="Arial"/>
        <b val="1"/>
        <color rgb="009C0006"/>
        <sz val="10"/>
      </font>
      <fill>
        <patternFill patternType="solid">
          <fgColor rgb="00FFC7CE"/>
        </patternFill>
      </fill>
    </dxf>
    <dxf>
      <font>
        <name val="Arial"/>
        <b val="1"/>
        <color rgb="00C55A11"/>
        <sz val="10"/>
      </font>
      <fill>
        <patternFill patternType="solid">
          <fgColor rgb="00FFD9CC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26" customWidth="1" min="3" max="3"/>
    <col width="40" customWidth="1" min="4" max="4"/>
    <col width="52" customWidth="1" min="5" max="5"/>
    <col width="12" customWidth="1" min="6" max="6"/>
    <col width="11" customWidth="1" min="7" max="7"/>
    <col width="13" customWidth="1" min="8" max="8"/>
    <col width="10" customWidth="1" min="9" max="9"/>
  </cols>
  <sheetData>
    <row r="1" ht="20" customHeight="1">
      <c r="A1" s="1" t="inlineStr">
        <is>
          <t>Aim-Truth Rig — 16-Week Phased Roadmap</t>
        </is>
      </c>
    </row>
    <row r="2">
      <c r="A2" s="2" t="inlineStr">
        <is>
          <t>Week 1 = w/c 2026-08-03. Effort in solo-days. Update the Status column; % complete rolls up on the Dashboard.</t>
        </is>
      </c>
    </row>
    <row r="4" ht="34" customHeight="1">
      <c r="A4" s="3" t="inlineStr">
        <is>
          <t>Wk</t>
        </is>
      </c>
      <c r="B4" s="3" t="inlineStr">
        <is>
          <t>Week of</t>
        </is>
      </c>
      <c r="C4" s="3" t="inlineStr">
        <is>
          <t>Phase</t>
        </is>
      </c>
      <c r="D4" s="3" t="inlineStr">
        <is>
          <t>Work item</t>
        </is>
      </c>
      <c r="E4" s="3" t="inlineStr">
        <is>
          <t>Deliverable / exit criterion</t>
        </is>
      </c>
      <c r="F4" s="3" t="inlineStr">
        <is>
          <t>Depends on</t>
        </is>
      </c>
      <c r="G4" s="3" t="inlineStr">
        <is>
          <t>Effort (days)</t>
        </is>
      </c>
      <c r="H4" s="3" t="inlineStr">
        <is>
          <t>Status</t>
        </is>
      </c>
      <c r="I4" s="3" t="inlineStr">
        <is>
          <t>Risk link</t>
        </is>
      </c>
    </row>
    <row r="5">
      <c r="A5" s="4" t="n">
        <v>1</v>
      </c>
      <c r="B5" s="5" t="n">
        <v>46237</v>
      </c>
      <c r="C5" s="6" t="inlineStr">
        <is>
          <t>P0 Observability</t>
        </is>
      </c>
      <c r="D5" s="6" t="inlineStr">
        <is>
          <t>Archaeology spike on inherited stack (timebox 4 days)</t>
        </is>
      </c>
      <c r="E5" s="6" t="inlineStr">
        <is>
          <t>Written one-pager: detector, filter type + rate, latency scheme, gimbal protocol. Explicit decision: instrument vs. replace tracker.</t>
        </is>
      </c>
      <c r="F5" s="6" t="inlineStr">
        <is>
          <t>—</t>
        </is>
      </c>
      <c r="G5" s="7" t="n">
        <v>4</v>
      </c>
      <c r="H5" s="7" t="inlineStr">
        <is>
          <t>Not started</t>
        </is>
      </c>
      <c r="I5" s="7" t="inlineStr">
        <is>
          <t>R2</t>
        </is>
      </c>
    </row>
    <row r="6">
      <c r="A6" s="8" t="n">
        <v>1</v>
      </c>
      <c r="B6" s="9" t="n">
        <v>46237</v>
      </c>
      <c r="C6" s="10" t="inlineStr">
        <is>
          <t>P0 Observability</t>
        </is>
      </c>
      <c r="D6" s="10" t="inlineStr">
        <is>
          <t>Confirm camera model + trigger/strobe capability (Q1)</t>
        </is>
      </c>
      <c r="E6" s="10" t="inlineStr">
        <is>
          <t>Datasheet line confirming external trigger in OR strobe out. GO/NO-GO on full spin range.</t>
        </is>
      </c>
      <c r="F6" s="10" t="inlineStr">
        <is>
          <t>—</t>
        </is>
      </c>
      <c r="G6" s="11" t="n">
        <v>0.5</v>
      </c>
      <c r="H6" s="11" t="inlineStr">
        <is>
          <t>Not started</t>
        </is>
      </c>
      <c r="I6" s="11" t="inlineStr">
        <is>
          <t>R1</t>
        </is>
      </c>
    </row>
    <row r="7">
      <c r="A7" s="4" t="n">
        <v>1</v>
      </c>
      <c r="B7" s="5" t="n">
        <v>46237</v>
      </c>
      <c r="C7" s="6" t="inlineStr">
        <is>
          <t>P0 Observability</t>
        </is>
      </c>
      <c r="D7" s="6" t="inlineStr">
        <is>
          <t>Confirm compute headroom + disk throughput for full-rate logging (Q4)</t>
        </is>
      </c>
      <c r="E7" s="6" t="inlineStr">
        <is>
          <t>Measured write bandwidth vs. required frame+state rate. No dropped frames under load.</t>
        </is>
      </c>
      <c r="F7" s="6" t="inlineStr">
        <is>
          <t>—</t>
        </is>
      </c>
      <c r="G7" s="7" t="n">
        <v>0.5</v>
      </c>
      <c r="H7" s="7" t="inlineStr">
        <is>
          <t>Not started</t>
        </is>
      </c>
      <c r="I7" s="7" t="inlineStr">
        <is>
          <t>R2</t>
        </is>
      </c>
    </row>
    <row r="8">
      <c r="A8" s="8" t="n">
        <v>2</v>
      </c>
      <c r="B8" s="9" t="n">
        <v>46244</v>
      </c>
      <c r="C8" s="10" t="inlineStr">
        <is>
          <t>P0 Observability</t>
        </is>
      </c>
      <c r="D8" s="10" t="inlineStr">
        <is>
          <t>Structured estimator-state logging (REQ-0.1)</t>
        </is>
      </c>
      <c r="E8" s="10" t="inlineStr">
        <is>
          <t>Every filter update logged, not just final aim output. Self-describing dataset format w/ metadata.</t>
        </is>
      </c>
      <c r="F8" s="10" t="inlineStr">
        <is>
          <t>Wk1 spike</t>
        </is>
      </c>
      <c r="G8" s="11" t="n">
        <v>3</v>
      </c>
      <c r="H8" s="11" t="inlineStr">
        <is>
          <t>Not started</t>
        </is>
      </c>
      <c r="I8" s="11" t="inlineStr">
        <is>
          <t>—</t>
        </is>
      </c>
    </row>
    <row r="9">
      <c r="A9" s="4" t="n">
        <v>2</v>
      </c>
      <c r="B9" s="5" t="n">
        <v>46244</v>
      </c>
      <c r="C9" s="6" t="inlineStr">
        <is>
          <t>P0 Observability</t>
        </is>
      </c>
      <c r="D9" s="6" t="inlineStr">
        <is>
          <t>Gimbal commanded-vs-actual angle logging (REQ-0.2)</t>
        </is>
      </c>
      <c r="E9" s="6" t="inlineStr">
        <is>
          <t>Second channel on same time base. Enables estimator-vs-servo error split.</t>
        </is>
      </c>
      <c r="F9" s="6" t="inlineStr">
        <is>
          <t>REQ-0.1</t>
        </is>
      </c>
      <c r="G9" s="7" t="n">
        <v>1</v>
      </c>
      <c r="H9" s="7" t="inlineStr">
        <is>
          <t>Not started</t>
        </is>
      </c>
      <c r="I9" s="7" t="inlineStr">
        <is>
          <t>—</t>
        </is>
      </c>
    </row>
    <row r="10">
      <c r="A10" s="8" t="n">
        <v>2</v>
      </c>
      <c r="B10" s="9" t="n">
        <v>46244</v>
      </c>
      <c r="C10" s="10" t="inlineStr">
        <is>
          <t>P0 Observability</t>
        </is>
      </c>
      <c r="D10" s="10" t="inlineStr">
        <is>
          <t>Order long-lead parts (motor if not owned, MCU, frame)</t>
        </is>
      </c>
      <c r="E10" s="10" t="inlineStr">
        <is>
          <t>Parts ordered. Piezo parts deliberately NOT ordered yet.</t>
        </is>
      </c>
      <c r="F10" s="10" t="inlineStr">
        <is>
          <t>Q1 answered</t>
        </is>
      </c>
      <c r="G10" s="11" t="n">
        <v>0.5</v>
      </c>
      <c r="H10" s="11" t="inlineStr">
        <is>
          <t>Not started</t>
        </is>
      </c>
      <c r="I10" s="11" t="inlineStr">
        <is>
          <t>R5</t>
        </is>
      </c>
    </row>
    <row r="11">
      <c r="A11" s="4" t="n">
        <v>3</v>
      </c>
      <c r="B11" s="5" t="n">
        <v>46251</v>
      </c>
      <c r="C11" s="6" t="inlineStr">
        <is>
          <t>P0 Observability</t>
        </is>
      </c>
      <c r="D11" s="6" t="inlineStr">
        <is>
          <t>Hardware frame trigger / strobe capture (REQ-0.3)</t>
        </is>
      </c>
      <c r="E11" s="6" t="inlineStr">
        <is>
          <t>MCU drives or captures camera exposure; encoder latched in same ISR.</t>
        </is>
      </c>
      <c r="F11" s="6" t="inlineStr">
        <is>
          <t>Parts</t>
        </is>
      </c>
      <c r="G11" s="7" t="n">
        <v>3</v>
      </c>
      <c r="H11" s="7" t="inlineStr">
        <is>
          <t>Not started</t>
        </is>
      </c>
      <c r="I11" s="7" t="inlineStr">
        <is>
          <t>R1</t>
        </is>
      </c>
    </row>
    <row r="12">
      <c r="A12" s="8" t="n">
        <v>3</v>
      </c>
      <c r="B12" s="9" t="n">
        <v>46251</v>
      </c>
      <c r="C12" s="10" t="inlineStr">
        <is>
          <t>P0 Observability</t>
        </is>
      </c>
      <c r="D12" s="10" t="inlineStr">
        <is>
          <t>LED sync verification test</t>
        </is>
      </c>
      <c r="E12" s="10" t="inlineStr">
        <is>
          <t>Measured sync error written into dataset metadata. MUST be &lt;= 200 us.</t>
        </is>
      </c>
      <c r="F12" s="10" t="inlineStr">
        <is>
          <t>REQ-0.3</t>
        </is>
      </c>
      <c r="G12" s="11" t="n">
        <v>1.5</v>
      </c>
      <c r="H12" s="11" t="inlineStr">
        <is>
          <t>Not started</t>
        </is>
      </c>
      <c r="I12" s="11" t="inlineStr">
        <is>
          <t>R1</t>
        </is>
      </c>
    </row>
    <row r="13">
      <c r="A13" s="12" t="n">
        <v>3</v>
      </c>
      <c r="B13" s="13" t="n">
        <v>46251</v>
      </c>
      <c r="C13" s="14" t="inlineStr">
        <is>
          <t>GATE</t>
        </is>
      </c>
      <c r="D13" s="14" t="inlineStr">
        <is>
          <t>WEEK 3 HARD GATE — sync error &lt;= 200 us?</t>
        </is>
      </c>
      <c r="E13" s="14" t="inlineStr">
        <is>
          <t>If &gt; 1 ms with no hardware path: descope to static-target check, abandon spinning rig.</t>
        </is>
      </c>
      <c r="F13" s="14" t="inlineStr">
        <is>
          <t>LED test</t>
        </is>
      </c>
      <c r="G13" s="12" t="n">
        <v>0</v>
      </c>
      <c r="H13" s="12" t="inlineStr">
        <is>
          <t>Not started</t>
        </is>
      </c>
      <c r="I13" s="12" t="inlineStr">
        <is>
          <t>R1</t>
        </is>
      </c>
    </row>
    <row r="14">
      <c r="A14" s="8" t="n">
        <v>4</v>
      </c>
      <c r="B14" s="9" t="n">
        <v>46258</v>
      </c>
      <c r="C14" s="10" t="inlineStr">
        <is>
          <t>P1 Estimator</t>
        </is>
      </c>
      <c r="D14" s="10" t="inlineStr">
        <is>
          <t>Build spin rig: frame, hub, plate mount (REQ-1.1)</t>
        </is>
      </c>
      <c r="E14" s="10" t="inlineStr">
        <is>
          <t>Direct-drive GM6020 mount. Static / constant-speed / step-change modes. Speed held to 2%.</t>
        </is>
      </c>
      <c r="F14" s="10" t="inlineStr">
        <is>
          <t>Wk3 gate</t>
        </is>
      </c>
      <c r="G14" s="11" t="n">
        <v>4</v>
      </c>
      <c r="H14" s="11" t="inlineStr">
        <is>
          <t>Not started</t>
        </is>
      </c>
      <c r="I14" s="11" t="inlineStr">
        <is>
          <t>R7</t>
        </is>
      </c>
    </row>
    <row r="15">
      <c r="A15" s="4" t="n">
        <v>4</v>
      </c>
      <c r="B15" s="5" t="n">
        <v>46258</v>
      </c>
      <c r="C15" s="6" t="inlineStr">
        <is>
          <t>P1 Estimator</t>
        </is>
      </c>
      <c r="D15" s="6" t="inlineStr">
        <is>
          <t>Safety: guard, hardware E-stop, captive fasteners</t>
        </is>
      </c>
      <c r="E15" s="6" t="inlineStr">
        <is>
          <t>E-stop cuts motor power in hardware, not software. Verified by test.</t>
        </is>
      </c>
      <c r="F15" s="6" t="inlineStr">
        <is>
          <t>Frame</t>
        </is>
      </c>
      <c r="G15" s="7" t="n">
        <v>1</v>
      </c>
      <c r="H15" s="7" t="inlineStr">
        <is>
          <t>Not started</t>
        </is>
      </c>
      <c r="I15" s="7" t="inlineStr">
        <is>
          <t>SAFETY</t>
        </is>
      </c>
    </row>
    <row r="16">
      <c r="A16" s="8" t="n">
        <v>5</v>
      </c>
      <c r="B16" s="9" t="n">
        <v>46265</v>
      </c>
      <c r="C16" s="10" t="inlineStr">
        <is>
          <t>P1 Estimator</t>
        </is>
      </c>
      <c r="D16" s="10" t="inlineStr">
        <is>
          <t>Encoder truth pipeline at &gt;=1 kHz, &lt;=0.05 deg (REQ-1.2)</t>
        </is>
      </c>
      <c r="E16" s="10" t="inlineStr">
        <is>
          <t>Absolute plate angle on rig time base. Validated against high-fps phone video.</t>
        </is>
      </c>
      <c r="F16" s="10" t="inlineStr">
        <is>
          <t>Rig built</t>
        </is>
      </c>
      <c r="G16" s="11" t="n">
        <v>2</v>
      </c>
      <c r="H16" s="11" t="inlineStr">
        <is>
          <t>Not started</t>
        </is>
      </c>
      <c r="I16" s="11" t="inlineStr">
        <is>
          <t>R8</t>
        </is>
      </c>
    </row>
    <row r="17">
      <c r="A17" s="4" t="n">
        <v>5</v>
      </c>
      <c r="B17" s="5" t="n">
        <v>46265</v>
      </c>
      <c r="C17" s="6" t="inlineStr">
        <is>
          <t>P1 Estimator</t>
        </is>
      </c>
      <c r="D17" s="6" t="inlineStr">
        <is>
          <t>Analysis: bias / latency / noise decomposition (REQ-1.3)</t>
        </is>
      </c>
      <c r="E17" s="6" t="inlineStr">
        <is>
          <t>Signed error vs. time + 3 scalars per spin rate. Latency via cross-correlation lag.</t>
        </is>
      </c>
      <c r="F17" s="6" t="inlineStr">
        <is>
          <t>Encoder truth</t>
        </is>
      </c>
      <c r="G17" s="7" t="n">
        <v>3</v>
      </c>
      <c r="H17" s="7" t="inlineStr">
        <is>
          <t>Not started</t>
        </is>
      </c>
      <c r="I17" s="7" t="inlineStr">
        <is>
          <t>—</t>
        </is>
      </c>
    </row>
    <row r="18">
      <c r="A18" s="8" t="n">
        <v>6</v>
      </c>
      <c r="B18" s="9" t="n">
        <v>46272</v>
      </c>
      <c r="C18" s="10" t="inlineStr">
        <is>
          <t>P1 Estimator</t>
        </is>
      </c>
      <c r="D18" s="10" t="inlineStr">
        <is>
          <t>Estimator-vs-servo error split (REQ-1.4)</t>
        </is>
      </c>
      <c r="E18" s="10" t="inlineStr">
        <is>
          <t>Same analysis on gimbal feedback channel. Error budget attributed.</t>
        </is>
      </c>
      <c r="F18" s="10" t="inlineStr">
        <is>
          <t>REQ-1.3</t>
        </is>
      </c>
      <c r="G18" s="11" t="n">
        <v>1.5</v>
      </c>
      <c r="H18" s="11" t="inlineStr">
        <is>
          <t>Not started</t>
        </is>
      </c>
      <c r="I18" s="11" t="inlineStr">
        <is>
          <t>—</t>
        </is>
      </c>
    </row>
    <row r="19">
      <c r="A19" s="4" t="n">
        <v>6</v>
      </c>
      <c r="B19" s="5" t="n">
        <v>46272</v>
      </c>
      <c r="C19" s="6" t="inlineStr">
        <is>
          <t>P1 Estimator</t>
        </is>
      </c>
      <c r="D19" s="6" t="inlineStr">
        <is>
          <t>Baseline report at 0.5 / 1.5 / 3.0 rev/s</t>
        </is>
      </c>
      <c r="E19" s="6" t="inlineStr">
        <is>
          <t>One-page report. This is the Week 6 baseline that M5 is measured against.</t>
        </is>
      </c>
      <c r="F19" s="6" t="inlineStr">
        <is>
          <t>REQ-1.4</t>
        </is>
      </c>
      <c r="G19" s="7" t="n">
        <v>1.5</v>
      </c>
      <c r="H19" s="7" t="inlineStr">
        <is>
          <t>Not started</t>
        </is>
      </c>
      <c r="I19" s="7" t="inlineStr">
        <is>
          <t>—</t>
        </is>
      </c>
    </row>
    <row r="20">
      <c r="A20" s="12" t="n">
        <v>6</v>
      </c>
      <c r="B20" s="13" t="n">
        <v>46272</v>
      </c>
      <c r="C20" s="14" t="inlineStr">
        <is>
          <t>GATE</t>
        </is>
      </c>
      <c r="D20" s="14" t="inlineStr">
        <is>
          <t>WEEK 6 PAYBACK GATE — did rig data change a decision?</t>
        </is>
      </c>
      <c r="E20" s="14" t="inlineStr">
        <is>
          <t>If no tuning decision was made on rig data: PARK until off-season.</t>
        </is>
      </c>
      <c r="F20" s="14" t="inlineStr">
        <is>
          <t>Baseline</t>
        </is>
      </c>
      <c r="G20" s="12" t="n">
        <v>0</v>
      </c>
      <c r="H20" s="12" t="inlineStr">
        <is>
          <t>Not started</t>
        </is>
      </c>
      <c r="I20" s="12" t="inlineStr">
        <is>
          <t>R3</t>
        </is>
      </c>
    </row>
    <row r="21">
      <c r="A21" s="4" t="n">
        <v>7</v>
      </c>
      <c r="B21" s="5" t="n">
        <v>46279</v>
      </c>
      <c r="C21" s="6" t="inlineStr">
        <is>
          <t>P4 Replay</t>
        </is>
      </c>
      <c r="D21" s="6" t="inlineStr">
        <is>
          <t>Deterministic replay harness (REQ-4.1)</t>
        </is>
      </c>
      <c r="E21" s="6" t="inlineStr">
        <is>
          <t>Dataset in + params in -&gt; error metrics out. Bit-for-bit reproducible across runs.</t>
        </is>
      </c>
      <c r="F21" s="6" t="inlineStr">
        <is>
          <t>Wk6 gate</t>
        </is>
      </c>
      <c r="G21" s="7" t="n">
        <v>4</v>
      </c>
      <c r="H21" s="7" t="inlineStr">
        <is>
          <t>Not started</t>
        </is>
      </c>
      <c r="I21" s="7" t="inlineStr">
        <is>
          <t>—</t>
        </is>
      </c>
    </row>
    <row r="22">
      <c r="A22" s="8" t="n">
        <v>7</v>
      </c>
      <c r="B22" s="9" t="n">
        <v>46279</v>
      </c>
      <c r="C22" s="10" t="inlineStr">
        <is>
          <t>P2 Live-fire</t>
        </is>
      </c>
      <c r="D22" s="10" t="inlineStr">
        <is>
          <t>Confirm firing space + referee set availability (Q2, Q3)</t>
        </is>
      </c>
      <c r="E22" s="10" t="inlineStr">
        <is>
          <t>Booked space at fixed range; referee set confirmed or Phase 2 goes paper-only.</t>
        </is>
      </c>
      <c r="F22" s="10" t="inlineStr">
        <is>
          <t>—</t>
        </is>
      </c>
      <c r="G22" s="11" t="n">
        <v>0.5</v>
      </c>
      <c r="H22" s="11" t="inlineStr">
        <is>
          <t>Not started</t>
        </is>
      </c>
      <c r="I22" s="11" t="inlineStr">
        <is>
          <t>R4</t>
        </is>
      </c>
    </row>
    <row r="23">
      <c r="A23" s="4" t="n">
        <v>8</v>
      </c>
      <c r="B23" s="5" t="n">
        <v>46286</v>
      </c>
      <c r="C23" s="6" t="inlineStr">
        <is>
          <t>P4 Replay</t>
        </is>
      </c>
      <c r="D23" s="6" t="inlineStr">
        <is>
          <t>Parameter sweep driver + scalar cost function (REQ-4.2)</t>
        </is>
      </c>
      <c r="E23" s="6" t="inlineStr">
        <is>
          <t>Grid/random search ranking configs. Runs in seconds, no hardware.</t>
        </is>
      </c>
      <c r="F23" s="6" t="inlineStr">
        <is>
          <t>REQ-4.1</t>
        </is>
      </c>
      <c r="G23" s="7" t="n">
        <v>2.5</v>
      </c>
      <c r="H23" s="7" t="inlineStr">
        <is>
          <t>Not started</t>
        </is>
      </c>
      <c r="I23" s="7" t="inlineStr">
        <is>
          <t>—</t>
        </is>
      </c>
    </row>
    <row r="24">
      <c r="A24" s="8" t="n">
        <v>8</v>
      </c>
      <c r="B24" s="9" t="n">
        <v>46286</v>
      </c>
      <c r="C24" s="10" t="inlineStr">
        <is>
          <t>P2 Live-fire</t>
        </is>
      </c>
      <c r="D24" s="10" t="inlineStr">
        <is>
          <t>NOISE FLOOR: static plate, clamped launcher, witness paper (REQ-2.1)</t>
        </is>
      </c>
      <c r="E24" s="10" t="inlineStr">
        <is>
          <t>Group spread of the launcher alone. Hard floor on achievable accuracy. Do this BEFORE any hit-rate number.</t>
        </is>
      </c>
      <c r="F24" s="10" t="inlineStr">
        <is>
          <t>Space</t>
        </is>
      </c>
      <c r="G24" s="11" t="n">
        <v>1.5</v>
      </c>
      <c r="H24" s="11" t="inlineStr">
        <is>
          <t>Not started</t>
        </is>
      </c>
      <c r="I24" s="11" t="inlineStr">
        <is>
          <t>—</t>
        </is>
      </c>
    </row>
    <row r="25">
      <c r="A25" s="4" t="n">
        <v>8</v>
      </c>
      <c r="B25" s="5" t="n">
        <v>46286</v>
      </c>
      <c r="C25" s="6" t="inlineStr">
        <is>
          <t>P2 Live-fire</t>
        </is>
      </c>
      <c r="D25" s="6" t="inlineStr">
        <is>
          <t>Per-shot muzzle velocity logging (REQ-2.2)</t>
        </is>
      </c>
      <c r="E25" s="6" t="inlineStr">
        <is>
          <t>Velocity joined to time-of-flight and required lead angle.</t>
        </is>
      </c>
      <c r="F25" s="6" t="inlineStr">
        <is>
          <t>Referee link</t>
        </is>
      </c>
      <c r="G25" s="7" t="n">
        <v>1</v>
      </c>
      <c r="H25" s="7" t="inlineStr">
        <is>
          <t>Not started</t>
        </is>
      </c>
      <c r="I25" s="7" t="inlineStr">
        <is>
          <t>R4</t>
        </is>
      </c>
    </row>
    <row r="26">
      <c r="A26" s="8" t="n">
        <v>9</v>
      </c>
      <c r="B26" s="9" t="n">
        <v>46293</v>
      </c>
      <c r="C26" s="10" t="inlineStr">
        <is>
          <t>P2 Live-fire</t>
        </is>
      </c>
      <c r="D26" s="10" t="inlineStr">
        <is>
          <t>Hit rate + group offset vs. spin rate (REQ-2.3)</t>
        </is>
      </c>
      <c r="E26" s="10" t="inlineStr">
        <is>
          <t>Chart with dispersion floor drawn as horizontal reference. Witness paper digitised per magazine.</t>
        </is>
      </c>
      <c r="F26" s="10" t="inlineStr">
        <is>
          <t>REQ-2.1</t>
        </is>
      </c>
      <c r="G26" s="11" t="n">
        <v>3</v>
      </c>
      <c r="H26" s="11" t="inlineStr">
        <is>
          <t>Not started</t>
        </is>
      </c>
      <c r="I26" s="11" t="inlineStr">
        <is>
          <t>—</t>
        </is>
      </c>
    </row>
    <row r="27">
      <c r="A27" s="4" t="n">
        <v>9</v>
      </c>
      <c r="B27" s="5" t="n">
        <v>46293</v>
      </c>
      <c r="C27" s="6" t="inlineStr">
        <is>
          <t>P4 Replay</t>
        </is>
      </c>
      <c r="D27" s="6" t="inlineStr">
        <is>
          <t>Held-out validation split (REQ-4.3)</t>
        </is>
      </c>
      <c r="E27" s="6" t="inlineStr">
        <is>
          <t>Tune on set A, report on set B. Guards against dataset memorisation.</t>
        </is>
      </c>
      <c r="F27" s="6" t="inlineStr">
        <is>
          <t>REQ-4.2</t>
        </is>
      </c>
      <c r="G27" s="7" t="n">
        <v>1.5</v>
      </c>
      <c r="H27" s="7" t="inlineStr">
        <is>
          <t>Not started</t>
        </is>
      </c>
      <c r="I27" s="7" t="inlineStr">
        <is>
          <t>R6</t>
        </is>
      </c>
    </row>
    <row r="28">
      <c r="A28" s="8" t="n">
        <v>10</v>
      </c>
      <c r="B28" s="9" t="n">
        <v>46300</v>
      </c>
      <c r="C28" s="10" t="inlineStr">
        <is>
          <t>P3 Piezo</t>
        </is>
      </c>
      <c r="D28" s="10" t="inlineStr">
        <is>
          <t>GO/NO-GO BENCH TEST: 4 piezos, spare plate, grid of taps (REQ-3.1)</t>
        </is>
      </c>
      <c r="E28" s="10" t="inlineStr">
        <is>
          <t>Calibrated RMS error on a known grid. NO-GO if &gt; 25 mm -&gt; reallocate to P4.</t>
        </is>
      </c>
      <c r="F28" s="10" t="inlineStr">
        <is>
          <t>Wk9</t>
        </is>
      </c>
      <c r="G28" s="11" t="n">
        <v>3</v>
      </c>
      <c r="H28" s="11" t="inlineStr">
        <is>
          <t>Not started</t>
        </is>
      </c>
      <c r="I28" s="11" t="inlineStr">
        <is>
          <t>R5</t>
        </is>
      </c>
    </row>
    <row r="29">
      <c r="A29" s="12" t="n">
        <v>10</v>
      </c>
      <c r="B29" s="13" t="n">
        <v>46300</v>
      </c>
      <c r="C29" s="14" t="inlineStr">
        <is>
          <t>GATE</t>
        </is>
      </c>
      <c r="D29" s="14" t="inlineStr">
        <is>
          <t>WEEK 10 PHASE-3 GATE + M4 adoption check</t>
        </is>
      </c>
      <c r="E29" s="14" t="inlineStr">
        <is>
          <t>Piezo &lt;= 25 mm RMS? AND &gt;= 3 tuning decisions made on rig data?</t>
        </is>
      </c>
      <c r="F29" s="14" t="inlineStr">
        <is>
          <t>Bench test</t>
        </is>
      </c>
      <c r="G29" s="12" t="n">
        <v>0</v>
      </c>
      <c r="H29" s="12" t="inlineStr">
        <is>
          <t>Not started</t>
        </is>
      </c>
      <c r="I29" s="12" t="inlineStr">
        <is>
          <t>R5</t>
        </is>
      </c>
    </row>
    <row r="30">
      <c r="A30" s="8" t="n">
        <v>11</v>
      </c>
      <c r="B30" s="9" t="n">
        <v>46307</v>
      </c>
      <c r="C30" s="10" t="inlineStr">
        <is>
          <t>P3 Piezo</t>
        </is>
      </c>
      <c r="D30" s="10" t="inlineStr">
        <is>
          <t>Comparator front end + STM32 input-capture timing</t>
        </is>
      </c>
      <c r="E30" s="10" t="inlineStr">
        <is>
          <t>4-channel threshold crossings timestamped on rig time base. ns-class resolution.</t>
        </is>
      </c>
      <c r="F30" s="10" t="inlineStr">
        <is>
          <t>Wk10 gate</t>
        </is>
      </c>
      <c r="G30" s="11" t="n">
        <v>3</v>
      </c>
      <c r="H30" s="11" t="inlineStr">
        <is>
          <t>Not started</t>
        </is>
      </c>
      <c r="I30" s="11" t="inlineStr">
        <is>
          <t>—</t>
        </is>
      </c>
    </row>
    <row r="31">
      <c r="A31" s="4" t="n">
        <v>12</v>
      </c>
      <c r="B31" s="5" t="n">
        <v>46314</v>
      </c>
      <c r="C31" s="6" t="inlineStr">
        <is>
          <t>P3 Piezo</t>
        </is>
      </c>
      <c r="D31" s="6" t="inlineStr">
        <is>
          <t>Multilateration + empirical calibration map (REQ-3.2)</t>
        </is>
      </c>
      <c r="E31" s="6" t="inlineStr">
        <is>
          <t>Grid-derived map, NOT an analytical wave-speed model. Stored with rig config.</t>
        </is>
      </c>
      <c r="F31" s="6" t="inlineStr">
        <is>
          <t>Front end</t>
        </is>
      </c>
      <c r="G31" s="7" t="n">
        <v>4</v>
      </c>
      <c r="H31" s="7" t="inlineStr">
        <is>
          <t>Not started</t>
        </is>
      </c>
      <c r="I31" s="7" t="inlineStr">
        <is>
          <t>—</t>
        </is>
      </c>
    </row>
    <row r="32">
      <c r="A32" s="8" t="n">
        <v>13</v>
      </c>
      <c r="B32" s="9" t="n">
        <v>46321</v>
      </c>
      <c r="C32" s="10" t="inlineStr">
        <is>
          <t>P3 Piezo</t>
        </is>
      </c>
      <c r="D32" s="10" t="inlineStr">
        <is>
          <t>Integrate onto live plate; join impacts to estimator state (REQ-3.3)</t>
        </is>
      </c>
      <c r="E32" s="10" t="inlineStr">
        <is>
          <t>Each impact carries rig timestamp; paired with estimator state at firing minus TOF.</t>
        </is>
      </c>
      <c r="F32" s="10" t="inlineStr">
        <is>
          <t>Calibration</t>
        </is>
      </c>
      <c r="G32" s="11" t="n">
        <v>3</v>
      </c>
      <c r="H32" s="11" t="inlineStr">
        <is>
          <t>Not started</t>
        </is>
      </c>
      <c r="I32" s="11" t="inlineStr">
        <is>
          <t>—</t>
        </is>
      </c>
    </row>
    <row r="33">
      <c r="A33" s="4" t="n">
        <v>13</v>
      </c>
      <c r="B33" s="5" t="n">
        <v>46321</v>
      </c>
      <c r="C33" s="6" t="inlineStr">
        <is>
          <t>P4 Replay</t>
        </is>
      </c>
      <c r="D33" s="6" t="inlineStr">
        <is>
          <t>Real-robot validation of swept parameters (REQ-4.4)</t>
        </is>
      </c>
      <c r="E33" s="6" t="inlineStr">
        <is>
          <t>No offline-selected parameter adopted without live validation.</t>
        </is>
      </c>
      <c r="F33" s="6" t="inlineStr">
        <is>
          <t>REQ-4.3</t>
        </is>
      </c>
      <c r="G33" s="7" t="n">
        <v>2</v>
      </c>
      <c r="H33" s="7" t="inlineStr">
        <is>
          <t>Not started</t>
        </is>
      </c>
      <c r="I33" s="7" t="inlineStr">
        <is>
          <t>R6</t>
        </is>
      </c>
    </row>
    <row r="34">
      <c r="A34" s="8" t="n">
        <v>14</v>
      </c>
      <c r="B34" s="9" t="n">
        <v>46328</v>
      </c>
      <c r="C34" s="10" t="inlineStr">
        <is>
          <t>P3 Piezo</t>
        </is>
      </c>
      <c r="D34" s="10" t="inlineStr">
        <is>
          <t>Accuracy acceptance: &lt;=25 mm RMS, &gt;=95% quadrant (M7)</t>
        </is>
      </c>
      <c r="E34" s="10" t="inlineStr">
        <is>
          <t>Measured on held-out grid positions, not calibration positions.</t>
        </is>
      </c>
      <c r="F34" s="10" t="inlineStr">
        <is>
          <t>Integration</t>
        </is>
      </c>
      <c r="G34" s="11" t="n">
        <v>2</v>
      </c>
      <c r="H34" s="11" t="inlineStr">
        <is>
          <t>Not started</t>
        </is>
      </c>
      <c r="I34" s="11" t="inlineStr">
        <is>
          <t>R5</t>
        </is>
      </c>
    </row>
    <row r="35">
      <c r="A35" s="4" t="n">
        <v>14</v>
      </c>
      <c r="B35" s="5" t="n">
        <v>46328</v>
      </c>
      <c r="C35" s="6" t="inlineStr">
        <is>
          <t>P1 Estimator</t>
        </is>
      </c>
      <c r="D35" s="6" t="inlineStr">
        <is>
          <t>M5 re-measurement vs. Week 6 baseline</t>
        </is>
      </c>
      <c r="E35" s="6" t="inlineStr">
        <is>
          <t>Same rig, same protocol. Target: &gt;= 30% estimator error reduction.</t>
        </is>
      </c>
      <c r="F35" s="6" t="inlineStr">
        <is>
          <t>P4 tuning</t>
        </is>
      </c>
      <c r="G35" s="7" t="n">
        <v>1.5</v>
      </c>
      <c r="H35" s="7" t="inlineStr">
        <is>
          <t>Not started</t>
        </is>
      </c>
      <c r="I35" s="7" t="inlineStr">
        <is>
          <t>—</t>
        </is>
      </c>
    </row>
    <row r="36">
      <c r="A36" s="8" t="n">
        <v>15</v>
      </c>
      <c r="B36" s="9" t="n">
        <v>46335</v>
      </c>
      <c r="C36" s="10" t="inlineStr">
        <is>
          <t>Consolidate</t>
        </is>
      </c>
      <c r="D36" s="10" t="inlineStr">
        <is>
          <t>Regenerate every reported number from stored datasets</t>
        </is>
      </c>
      <c r="E36" s="10" t="inlineStr">
        <is>
          <t>Single command per figure. No number that exists only in a screenshot.</t>
        </is>
      </c>
      <c r="F36" s="10" t="inlineStr">
        <is>
          <t>All</t>
        </is>
      </c>
      <c r="G36" s="11" t="n">
        <v>2</v>
      </c>
      <c r="H36" s="11" t="inlineStr">
        <is>
          <t>Not started</t>
        </is>
      </c>
      <c r="I36" s="11" t="inlineStr">
        <is>
          <t>—</t>
        </is>
      </c>
    </row>
    <row r="37">
      <c r="A37" s="4" t="n">
        <v>15</v>
      </c>
      <c r="B37" s="5" t="n">
        <v>46335</v>
      </c>
      <c r="C37" s="6" t="inlineStr">
        <is>
          <t>Consolidate</t>
        </is>
      </c>
      <c r="D37" s="6" t="inlineStr">
        <is>
          <t>Dataset archive + metadata audit</t>
        </is>
      </c>
      <c r="E37" s="6" t="inlineStr">
        <is>
          <t>Every recording labelled with rig config, sync error, camera settings, git commit.</t>
        </is>
      </c>
      <c r="F37" s="6" t="inlineStr">
        <is>
          <t>All</t>
        </is>
      </c>
      <c r="G37" s="7" t="n">
        <v>1.5</v>
      </c>
      <c r="H37" s="7" t="inlineStr">
        <is>
          <t>Not started</t>
        </is>
      </c>
      <c r="I37" s="7" t="inlineStr">
        <is>
          <t>—</t>
        </is>
      </c>
    </row>
    <row r="38">
      <c r="A38" s="8" t="n">
        <v>16</v>
      </c>
      <c r="B38" s="9" t="n">
        <v>46342</v>
      </c>
      <c r="C38" s="10" t="inlineStr">
        <is>
          <t>Consolidate</t>
        </is>
      </c>
      <c r="D38" s="10" t="inlineStr">
        <is>
          <t>Final report: error budget, tuning outcomes, known limits</t>
        </is>
      </c>
      <c r="E38" s="10" t="inlineStr">
        <is>
          <t>Includes an honest section on what the rig does NOT measure (see PRD R6).</t>
        </is>
      </c>
      <c r="F38" s="10" t="inlineStr">
        <is>
          <t>Wk15</t>
        </is>
      </c>
      <c r="G38" s="11" t="n">
        <v>2.5</v>
      </c>
      <c r="H38" s="11" t="inlineStr">
        <is>
          <t>Not started</t>
        </is>
      </c>
      <c r="I38" s="11" t="inlineStr">
        <is>
          <t>R6</t>
        </is>
      </c>
    </row>
    <row r="39">
      <c r="A39" s="4" t="n">
        <v>16</v>
      </c>
      <c r="B39" s="5" t="n">
        <v>46342</v>
      </c>
      <c r="C39" s="6" t="inlineStr">
        <is>
          <t>Consolidate</t>
        </is>
      </c>
      <c r="D39" s="6" t="inlineStr">
        <is>
          <t>Off-season backlog: what v2 should do differently</t>
        </is>
      </c>
      <c r="E39" s="6" t="inlineStr">
        <is>
          <t>Written while the pain is fresh.</t>
        </is>
      </c>
      <c r="F39" s="6" t="inlineStr">
        <is>
          <t>—</t>
        </is>
      </c>
      <c r="G39" s="7" t="n">
        <v>1</v>
      </c>
      <c r="H39" s="7" t="inlineStr">
        <is>
          <t>Not started</t>
        </is>
      </c>
      <c r="I39" s="7" t="inlineStr">
        <is>
          <t>—</t>
        </is>
      </c>
    </row>
    <row r="41">
      <c r="F41" s="15" t="inlineStr">
        <is>
          <t>TOTAL EFFORT (solo-days)</t>
        </is>
      </c>
      <c r="G41" s="16">
        <f>SUM(G5:G39)</f>
        <v/>
      </c>
    </row>
    <row r="42">
      <c r="F42" s="17" t="inlineStr">
        <is>
          <t>Available (16 wks x 2.5 days/wk realistic solo, in-season)</t>
        </is>
      </c>
      <c r="G42" s="18" t="n">
        <v>40</v>
      </c>
    </row>
    <row r="43">
      <c r="F43" s="15" t="inlineStr">
        <is>
          <t>Headroom (negative = overcommitted)</t>
        </is>
      </c>
      <c r="G43" s="16">
        <f>G42-G41</f>
        <v/>
      </c>
    </row>
    <row r="44">
      <c r="F44" s="2" t="inlineStr">
        <is>
          <t>Blue = your input. Adjust available days to your real capacity.</t>
        </is>
      </c>
    </row>
    <row r="46">
      <c r="A46" s="19" t="inlineStr">
        <is>
          <t>CAPACITY REALITY CHECK: the plan as scoped is ~66.5 solo-days against ~40 available at 2.5 days/week. Dropping Phase 3 entirely (15 days) still leaves ~51.5.</t>
        </is>
      </c>
    </row>
    <row r="47">
      <c r="A47" s="20" t="inlineStr">
        <is>
          <t>Closing the gap needs one of: (a) ~3.3 days/week instead of 2.5, (b) drop Phase 3 AND cut Phase 2 to a single dispersion-floor session, or (c) extend to 20 weeks.</t>
        </is>
      </c>
    </row>
    <row r="48">
      <c r="A48" s="2" t="inlineStr">
        <is>
          <t>This is deliberate. A plan that fits perfectly on day one has not been costed honestly. Decide which lever to pull at the Week 6 payback gate, when there is evidence.</t>
        </is>
      </c>
    </row>
  </sheetData>
  <conditionalFormatting sqref="H5:H39">
    <cfRule type="cellIs" priority="1" operator="equal" dxfId="0">
      <formula>"Done"</formula>
    </cfRule>
    <cfRule type="cellIs" priority="2" operator="equal" dxfId="1">
      <formula>"Blocked"</formula>
    </cfRule>
    <cfRule type="cellIs" priority="3" operator="equal" dxfId="2">
      <formula>"In progress"</formula>
    </cfRule>
  </conditionalFormatting>
  <dataValidations count="1">
    <dataValidation sqref="H5:H39" showDropDown="0" showInputMessage="0" showErrorMessage="0" allowBlank="1" type="list">
      <formula1>"Not started,In progress,Blocked,Done,Descoped"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selection pane="bottomLeft" activeCell="A1" sqref="A1"/>
    </sheetView>
  </sheetViews>
  <sheetFormatPr baseColWidth="8" defaultRowHeight="15"/>
  <cols>
    <col width="44" customWidth="1" min="1" max="1"/>
    <col width="15" customWidth="1" min="2" max="2"/>
    <col width="46" customWidth="1" min="3" max="3"/>
    <col width="58" customWidth="1" min="4" max="4"/>
    <col width="15" customWidth="1" min="5" max="5"/>
  </cols>
  <sheetData>
    <row r="1" ht="20" customHeight="1">
      <c r="A1" s="1" t="inlineStr">
        <is>
          <t>Dashboard</t>
        </is>
      </c>
    </row>
    <row r="2">
      <c r="A2" s="2" t="inlineStr">
        <is>
          <t>All figures are formulas over the Roadmap and Risks tabs — they update as you edit Status.</t>
        </is>
      </c>
    </row>
    <row r="4">
      <c r="A4" s="21" t="inlineStr">
        <is>
          <t>PROGRESS</t>
        </is>
      </c>
    </row>
    <row r="5">
      <c r="A5" s="22" t="inlineStr">
        <is>
          <t>Total work items</t>
        </is>
      </c>
      <c r="B5" s="23">
        <f>COUNTA(Roadmap!D5:D39)-COUNTIF(Roadmap!C5:C39,"GATE")</f>
        <v/>
      </c>
    </row>
    <row r="6">
      <c r="A6" s="22" t="inlineStr">
        <is>
          <t>Done</t>
        </is>
      </c>
      <c r="B6" s="23">
        <f>COUNTIF(Roadmap!H5:H39,"Done")</f>
        <v/>
      </c>
    </row>
    <row r="7">
      <c r="A7" s="22" t="inlineStr">
        <is>
          <t>In progress</t>
        </is>
      </c>
      <c r="B7" s="23">
        <f>COUNTIF(Roadmap!H5:H39,"In progress")</f>
        <v/>
      </c>
    </row>
    <row r="8">
      <c r="A8" s="22" t="inlineStr">
        <is>
          <t>Blocked</t>
        </is>
      </c>
      <c r="B8" s="23">
        <f>COUNTIF(Roadmap!H5:H39,"Blocked")</f>
        <v/>
      </c>
    </row>
    <row r="9">
      <c r="A9" s="22" t="inlineStr">
        <is>
          <t>Descoped</t>
        </is>
      </c>
      <c r="B9" s="23">
        <f>COUNTIF(Roadmap!H5:H39,"Descoped")</f>
        <v/>
      </c>
    </row>
    <row r="10">
      <c r="A10" s="15" t="inlineStr">
        <is>
          <t>% complete</t>
        </is>
      </c>
      <c r="B10" s="24">
        <f>IFERROR(B6/B5,0)</f>
        <v/>
      </c>
    </row>
    <row r="13">
      <c r="A13" s="21" t="inlineStr">
        <is>
          <t>EFFORT BY PHASE (solo-days)</t>
        </is>
      </c>
    </row>
    <row r="14" ht="18" customHeight="1">
      <c r="A14" s="3" t="inlineStr">
        <is>
          <t>Phase</t>
        </is>
      </c>
      <c r="B14" s="3" t="inlineStr">
        <is>
          <t>Planned</t>
        </is>
      </c>
      <c r="C14" s="3" t="inlineStr">
        <is>
          <t>Done</t>
        </is>
      </c>
      <c r="D14" s="3" t="inlineStr">
        <is>
          <t>% done</t>
        </is>
      </c>
    </row>
    <row r="15">
      <c r="A15" s="25" t="inlineStr">
        <is>
          <t>P0 Observability</t>
        </is>
      </c>
      <c r="B15" s="23">
        <f>SUMIF(Roadmap!$C$5:$C$39,$A15,Roadmap!$G$5:$G$39)</f>
        <v/>
      </c>
      <c r="C15" s="23">
        <f>SUMIFS(Roadmap!$G$5:$G$39,Roadmap!$C$5:$C$39,$A15,Roadmap!$H$5:$H$39,"Done")</f>
        <v/>
      </c>
      <c r="D15" s="26">
        <f>IFERROR(C15/B15,0)</f>
        <v/>
      </c>
    </row>
    <row r="16">
      <c r="A16" s="25" t="inlineStr">
        <is>
          <t>P1 Estimator</t>
        </is>
      </c>
      <c r="B16" s="23">
        <f>SUMIF(Roadmap!$C$5:$C$39,$A16,Roadmap!$G$5:$G$39)</f>
        <v/>
      </c>
      <c r="C16" s="23">
        <f>SUMIFS(Roadmap!$G$5:$G$39,Roadmap!$C$5:$C$39,$A16,Roadmap!$H$5:$H$39,"Done")</f>
        <v/>
      </c>
      <c r="D16" s="26">
        <f>IFERROR(C16/B16,0)</f>
        <v/>
      </c>
    </row>
    <row r="17">
      <c r="A17" s="25" t="inlineStr">
        <is>
          <t>P2 Live-fire</t>
        </is>
      </c>
      <c r="B17" s="23">
        <f>SUMIF(Roadmap!$C$5:$C$39,$A17,Roadmap!$G$5:$G$39)</f>
        <v/>
      </c>
      <c r="C17" s="23">
        <f>SUMIFS(Roadmap!$G$5:$G$39,Roadmap!$C$5:$C$39,$A17,Roadmap!$H$5:$H$39,"Done")</f>
        <v/>
      </c>
      <c r="D17" s="26">
        <f>IFERROR(C17/B17,0)</f>
        <v/>
      </c>
    </row>
    <row r="18">
      <c r="A18" s="25" t="inlineStr">
        <is>
          <t>P3 Piezo</t>
        </is>
      </c>
      <c r="B18" s="23">
        <f>SUMIF(Roadmap!$C$5:$C$39,$A18,Roadmap!$G$5:$G$39)</f>
        <v/>
      </c>
      <c r="C18" s="23">
        <f>SUMIFS(Roadmap!$G$5:$G$39,Roadmap!$C$5:$C$39,$A18,Roadmap!$H$5:$H$39,"Done")</f>
        <v/>
      </c>
      <c r="D18" s="26">
        <f>IFERROR(C18/B18,0)</f>
        <v/>
      </c>
    </row>
    <row r="19">
      <c r="A19" s="25" t="inlineStr">
        <is>
          <t>P4 Replay</t>
        </is>
      </c>
      <c r="B19" s="23">
        <f>SUMIF(Roadmap!$C$5:$C$39,$A19,Roadmap!$G$5:$G$39)</f>
        <v/>
      </c>
      <c r="C19" s="23">
        <f>SUMIFS(Roadmap!$G$5:$G$39,Roadmap!$C$5:$C$39,$A19,Roadmap!$H$5:$H$39,"Done")</f>
        <v/>
      </c>
      <c r="D19" s="26">
        <f>IFERROR(C19/B19,0)</f>
        <v/>
      </c>
    </row>
    <row r="20">
      <c r="A20" s="25" t="inlineStr">
        <is>
          <t>Consolidate</t>
        </is>
      </c>
      <c r="B20" s="23">
        <f>SUMIF(Roadmap!$C$5:$C$39,$A20,Roadmap!$G$5:$G$39)</f>
        <v/>
      </c>
      <c r="C20" s="23">
        <f>SUMIFS(Roadmap!$G$5:$G$39,Roadmap!$C$5:$C$39,$A20,Roadmap!$H$5:$H$39,"Done")</f>
        <v/>
      </c>
      <c r="D20" s="26">
        <f>IFERROR(C20/B20,0)</f>
        <v/>
      </c>
    </row>
    <row r="21">
      <c r="A21" s="27" t="inlineStr">
        <is>
          <t>TOTAL</t>
        </is>
      </c>
      <c r="B21" s="28">
        <f>SUM(B15:B20)</f>
        <v/>
      </c>
      <c r="C21" s="28">
        <f>SUM(C15:C20)</f>
        <v/>
      </c>
      <c r="D21" s="24">
        <f>IFERROR(C21/B21,0)</f>
        <v/>
      </c>
    </row>
    <row r="24">
      <c r="A24" s="21" t="inlineStr">
        <is>
          <t>GATES — the decisions that keep this project honest</t>
        </is>
      </c>
    </row>
    <row r="25" ht="18" customHeight="1">
      <c r="A25" s="3" t="inlineStr">
        <is>
          <t>Gate</t>
        </is>
      </c>
      <c r="B25" s="3" t="inlineStr">
        <is>
          <t>Week</t>
        </is>
      </c>
      <c r="C25" s="3" t="inlineStr">
        <is>
          <t>Test</t>
        </is>
      </c>
      <c r="D25" s="3" t="inlineStr">
        <is>
          <t>Action on failure</t>
        </is>
      </c>
    </row>
    <row r="26" ht="30" customHeight="1">
      <c r="A26" s="6" t="inlineStr">
        <is>
          <t>Sync gate</t>
        </is>
      </c>
      <c r="B26" s="6" t="n">
        <v>3</v>
      </c>
      <c r="C26" s="6" t="inlineStr">
        <is>
          <t>Measured camera-to-encoder sync error &lt;= 200 us</t>
        </is>
      </c>
      <c r="D26" s="6" t="inlineStr">
        <is>
          <t>If &gt; 1 ms with no hardware path: descope to static-target check, abandon spinning rig</t>
        </is>
      </c>
    </row>
    <row r="27" ht="30" customHeight="1">
      <c r="A27" s="10" t="inlineStr">
        <is>
          <t>Payback gate</t>
        </is>
      </c>
      <c r="B27" s="10" t="n">
        <v>6</v>
      </c>
      <c r="C27" s="10" t="inlineStr">
        <is>
          <t>Has rig data changed at least one tuning decision?</t>
        </is>
      </c>
      <c r="D27" s="10" t="inlineStr">
        <is>
          <t>Park the project until off-season; robot work wins during the season</t>
        </is>
      </c>
    </row>
    <row r="28" ht="30" customHeight="1">
      <c r="A28" s="6" t="inlineStr">
        <is>
          <t>Phase 3 gate</t>
        </is>
      </c>
      <c r="B28" s="6" t="n">
        <v>10</v>
      </c>
      <c r="C28" s="6" t="inlineStr">
        <is>
          <t>Piezo bench RMS &lt;= 25 mm on a known grid</t>
        </is>
      </c>
      <c r="D28" s="6" t="inlineStr">
        <is>
          <t>Do not integrate. Reallocate the 4 weeks to Phase 4 replay tuning</t>
        </is>
      </c>
    </row>
    <row r="29" ht="30" customHeight="1">
      <c r="A29" s="10" t="inlineStr">
        <is>
          <t>Adoption gate</t>
        </is>
      </c>
      <c r="B29" s="10" t="n">
        <v>10</v>
      </c>
      <c r="C29" s="10" t="inlineStr">
        <is>
          <t>&gt;= 3 tuning decisions made on rig data (M4)</t>
        </is>
      </c>
      <c r="D29" s="10" t="inlineStr">
        <is>
          <t>The tool is not being used. Stop building; find out why</t>
        </is>
      </c>
    </row>
    <row r="30" ht="30" customHeight="1">
      <c r="A30" s="6" t="inlineStr">
        <is>
          <t>Drift tripwire</t>
        </is>
      </c>
      <c r="B30" s="6" t="inlineStr">
        <is>
          <t>any</t>
        </is>
      </c>
      <c r="C30" s="6" t="inlineStr">
        <is>
          <t>2 consecutive weeks with no dataset recorded</t>
        </is>
      </c>
      <c r="D30" s="6" t="inlineStr">
        <is>
          <t>You are building infrastructure for its own sake. Record something crude, re-plan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8" customWidth="1" min="3" max="3"/>
    <col width="6" customWidth="1" min="4" max="4"/>
    <col width="9" customWidth="1" min="5" max="5"/>
    <col width="10" customWidth="1" min="6" max="6"/>
    <col width="13" customWidth="1" min="7" max="7"/>
    <col width="11" customWidth="1" min="8" max="8"/>
  </cols>
  <sheetData>
    <row r="1" ht="20" customHeight="1">
      <c r="A1" s="1" t="inlineStr">
        <is>
          <t>Bill of Materials</t>
        </is>
      </c>
    </row>
    <row r="2">
      <c r="A2" s="2" t="inlineStr">
        <is>
          <t>Blue = your input (adjust qty/price to what you actually pay or already own). Budget ceiling from kickoff: $500.</t>
        </is>
      </c>
    </row>
    <row r="4" ht="30" customHeight="1">
      <c r="A4" s="3" t="inlineStr">
        <is>
          <t>Item</t>
        </is>
      </c>
      <c r="B4" s="3" t="inlineStr">
        <is>
          <t>Purpose</t>
        </is>
      </c>
      <c r="C4" s="3" t="inlineStr">
        <is>
          <t>Phase</t>
        </is>
      </c>
      <c r="D4" s="3" t="inlineStr">
        <is>
          <t>Qty</t>
        </is>
      </c>
      <c r="E4" s="3" t="inlineStr">
        <is>
          <t>Unit $</t>
        </is>
      </c>
      <c r="F4" s="3" t="inlineStr">
        <is>
          <t>Line $</t>
        </is>
      </c>
      <c r="G4" s="3" t="inlineStr">
        <is>
          <t>Already own?</t>
        </is>
      </c>
      <c r="H4" s="3" t="inlineStr">
        <is>
          <t>Order by</t>
        </is>
      </c>
    </row>
    <row r="5">
      <c r="A5" s="29" t="inlineStr">
        <is>
          <t>GM6020 gimbal motor</t>
        </is>
      </c>
      <c r="B5" s="30" t="inlineStr">
        <is>
          <t>Direct-drive spin + absolute encoder ground truth (0.044 deg, no backlash)</t>
        </is>
      </c>
      <c r="C5" s="31" t="inlineStr">
        <is>
          <t>P1</t>
        </is>
      </c>
      <c r="D5" s="32" t="n">
        <v>1</v>
      </c>
      <c r="E5" s="33" t="n">
        <v>110</v>
      </c>
      <c r="F5" s="34">
        <f>D5*E5</f>
        <v/>
      </c>
      <c r="G5" s="31" t="inlineStr">
        <is>
          <t>Likely</t>
        </is>
      </c>
      <c r="H5" s="31" t="inlineStr">
        <is>
          <t>Wk 2</t>
        </is>
      </c>
    </row>
    <row r="6">
      <c r="A6" s="35" t="inlineStr">
        <is>
          <t>STM32F4 dev board</t>
        </is>
      </c>
      <c r="B6" s="36" t="inlineStr">
        <is>
          <t>Rig time base, CAN, camera trigger, piezo input capture</t>
        </is>
      </c>
      <c r="C6" s="37" t="inlineStr">
        <is>
          <t>P0</t>
        </is>
      </c>
      <c r="D6" s="38" t="n">
        <v>1</v>
      </c>
      <c r="E6" s="39" t="n">
        <v>15</v>
      </c>
      <c r="F6" s="40">
        <f>D6*E6</f>
        <v/>
      </c>
      <c r="G6" s="37" t="inlineStr">
        <is>
          <t>Maybe</t>
        </is>
      </c>
      <c r="H6" s="37" t="inlineStr">
        <is>
          <t>Wk 2</t>
        </is>
      </c>
    </row>
    <row r="7">
      <c r="A7" s="29" t="inlineStr">
        <is>
          <t>USB-CAN adapter</t>
        </is>
      </c>
      <c r="B7" s="30" t="inlineStr">
        <is>
          <t>Motor command + host link</t>
        </is>
      </c>
      <c r="C7" s="31" t="inlineStr">
        <is>
          <t>P1</t>
        </is>
      </c>
      <c r="D7" s="32" t="n">
        <v>1</v>
      </c>
      <c r="E7" s="33" t="n">
        <v>25</v>
      </c>
      <c r="F7" s="34">
        <f>D7*E7</f>
        <v/>
      </c>
      <c r="G7" s="31" t="inlineStr">
        <is>
          <t>Likely</t>
        </is>
      </c>
      <c r="H7" s="31" t="inlineStr">
        <is>
          <t>Wk 2</t>
        </is>
      </c>
    </row>
    <row r="8">
      <c r="A8" s="35" t="inlineStr">
        <is>
          <t>24 V PSU</t>
        </is>
      </c>
      <c r="B8" s="36" t="inlineStr">
        <is>
          <t>Motor supply (or reuse a team battery)</t>
        </is>
      </c>
      <c r="C8" s="37" t="inlineStr">
        <is>
          <t>P1</t>
        </is>
      </c>
      <c r="D8" s="38" t="n">
        <v>1</v>
      </c>
      <c r="E8" s="39" t="n">
        <v>25</v>
      </c>
      <c r="F8" s="40">
        <f>D8*E8</f>
        <v/>
      </c>
      <c r="G8" s="37" t="inlineStr">
        <is>
          <t>Maybe</t>
        </is>
      </c>
      <c r="H8" s="37" t="inlineStr">
        <is>
          <t>Wk 2</t>
        </is>
      </c>
    </row>
    <row r="9">
      <c r="A9" s="29" t="inlineStr">
        <is>
          <t>Aluminium extrusion + base plate + fasteners</t>
        </is>
      </c>
      <c r="B9" s="30" t="inlineStr">
        <is>
          <t>Rigid frame; must not walk under vibration (risk R7)</t>
        </is>
      </c>
      <c r="C9" s="31" t="inlineStr">
        <is>
          <t>P1</t>
        </is>
      </c>
      <c r="D9" s="32" t="n">
        <v>1</v>
      </c>
      <c r="E9" s="33" t="n">
        <v>60</v>
      </c>
      <c r="F9" s="34">
        <f>D9*E9</f>
        <v/>
      </c>
      <c r="G9" s="31" t="inlineStr">
        <is>
          <t>No</t>
        </is>
      </c>
      <c r="H9" s="31" t="inlineStr">
        <is>
          <t>Wk 2</t>
        </is>
      </c>
    </row>
    <row r="10">
      <c r="A10" s="35" t="inlineStr">
        <is>
          <t>3D-printed hub + sensor mounts</t>
        </is>
      </c>
      <c r="B10" s="36" t="inlineStr">
        <is>
          <t>Interface to standard armor plate; captive fasteners</t>
        </is>
      </c>
      <c r="C10" s="37" t="inlineStr">
        <is>
          <t>P1</t>
        </is>
      </c>
      <c r="D10" s="38" t="n">
        <v>1</v>
      </c>
      <c r="E10" s="39" t="n">
        <v>8</v>
      </c>
      <c r="F10" s="40">
        <f>D10*E10</f>
        <v/>
      </c>
      <c r="G10" s="37" t="inlineStr">
        <is>
          <t>In-house</t>
        </is>
      </c>
      <c r="H10" s="37" t="inlineStr">
        <is>
          <t>Wk 3</t>
        </is>
      </c>
    </row>
    <row r="11">
      <c r="A11" s="29" t="inlineStr">
        <is>
          <t>Opto-isolator + wiring + connectors</t>
        </is>
      </c>
      <c r="B11" s="30" t="inlineStr">
        <is>
          <t>Camera trigger isolation</t>
        </is>
      </c>
      <c r="C11" s="31" t="inlineStr">
        <is>
          <t>P0</t>
        </is>
      </c>
      <c r="D11" s="32" t="n">
        <v>1</v>
      </c>
      <c r="E11" s="33" t="n">
        <v>12</v>
      </c>
      <c r="F11" s="34">
        <f>D11*E11</f>
        <v/>
      </c>
      <c r="G11" s="31" t="inlineStr">
        <is>
          <t>No</t>
        </is>
      </c>
      <c r="H11" s="31" t="inlineStr">
        <is>
          <t>Wk 2</t>
        </is>
      </c>
    </row>
    <row r="12">
      <c r="A12" s="35" t="inlineStr">
        <is>
          <t>LED + driver</t>
        </is>
      </c>
      <c r="B12" s="36" t="inlineStr">
        <is>
          <t>Sync verification test (REQ-0.3)</t>
        </is>
      </c>
      <c r="C12" s="37" t="inlineStr">
        <is>
          <t>P0</t>
        </is>
      </c>
      <c r="D12" s="38" t="n">
        <v>1</v>
      </c>
      <c r="E12" s="39" t="n">
        <v>8</v>
      </c>
      <c r="F12" s="40">
        <f>D12*E12</f>
        <v/>
      </c>
      <c r="G12" s="37" t="inlineStr">
        <is>
          <t>No</t>
        </is>
      </c>
      <c r="H12" s="37" t="inlineStr">
        <is>
          <t>Wk 2</t>
        </is>
      </c>
    </row>
    <row r="13">
      <c r="A13" s="29" t="inlineStr">
        <is>
          <t>Carbon / witness paper</t>
        </is>
      </c>
      <c r="B13" s="30" t="inlineStr">
        <is>
          <t>Phase 2 spatial ground truth. Best value per dollar in this BOM.</t>
        </is>
      </c>
      <c r="C13" s="31" t="inlineStr">
        <is>
          <t>P2</t>
        </is>
      </c>
      <c r="D13" s="32" t="n">
        <v>1</v>
      </c>
      <c r="E13" s="33" t="n">
        <v>5</v>
      </c>
      <c r="F13" s="34">
        <f>D13*E13</f>
        <v/>
      </c>
      <c r="G13" s="31" t="inlineStr">
        <is>
          <t>No</t>
        </is>
      </c>
      <c r="H13" s="31" t="inlineStr">
        <is>
          <t>Wk 7</t>
        </is>
      </c>
    </row>
    <row r="14">
      <c r="A14" s="35" t="inlineStr">
        <is>
          <t>Piezo discs</t>
        </is>
      </c>
      <c r="B14" s="36" t="inlineStr">
        <is>
          <t>Impact localisation elements</t>
        </is>
      </c>
      <c r="C14" s="37" t="inlineStr">
        <is>
          <t>P3</t>
        </is>
      </c>
      <c r="D14" s="38" t="n">
        <v>4</v>
      </c>
      <c r="E14" s="39" t="n">
        <v>2</v>
      </c>
      <c r="F14" s="40">
        <f>D14*E14</f>
        <v/>
      </c>
      <c r="G14" s="37" t="inlineStr">
        <is>
          <t>No</t>
        </is>
      </c>
      <c r="H14" s="37" t="inlineStr">
        <is>
          <t>Wk 10*</t>
        </is>
      </c>
    </row>
    <row r="15">
      <c r="A15" s="29" t="inlineStr">
        <is>
          <t>Comparator + analogue front end parts</t>
        </is>
      </c>
      <c r="B15" s="30" t="inlineStr">
        <is>
          <t>Threshold crossing detection for TDOA</t>
        </is>
      </c>
      <c r="C15" s="31" t="inlineStr">
        <is>
          <t>P3</t>
        </is>
      </c>
      <c r="D15" s="32" t="n">
        <v>1</v>
      </c>
      <c r="E15" s="33" t="n">
        <v>27</v>
      </c>
      <c r="F15" s="34">
        <f>D15*E15</f>
        <v/>
      </c>
      <c r="G15" s="31" t="inlineStr">
        <is>
          <t>No</t>
        </is>
      </c>
      <c r="H15" s="31" t="inlineStr">
        <is>
          <t>Wk 10*</t>
        </is>
      </c>
    </row>
    <row r="16">
      <c r="A16" s="35" t="inlineStr">
        <is>
          <t>Safety guard / polycarbonate shield</t>
        </is>
      </c>
      <c r="B16" s="36" t="inlineStr">
        <is>
          <t>Spinning plate containment + eye protection zone</t>
        </is>
      </c>
      <c r="C16" s="37" t="inlineStr">
        <is>
          <t>P1</t>
        </is>
      </c>
      <c r="D16" s="38" t="n">
        <v>1</v>
      </c>
      <c r="E16" s="39" t="n">
        <v>30</v>
      </c>
      <c r="F16" s="40">
        <f>D16*E16</f>
        <v/>
      </c>
      <c r="G16" s="37" t="inlineStr">
        <is>
          <t>No</t>
        </is>
      </c>
      <c r="H16" s="37" t="inlineStr">
        <is>
          <t>Wk 4</t>
        </is>
      </c>
    </row>
    <row r="18">
      <c r="E18" s="15" t="inlineStr">
        <is>
          <t>SUBTOTAL (all phases)</t>
        </is>
      </c>
      <c r="F18" s="41">
        <f>SUM(F5:F16)</f>
        <v/>
      </c>
    </row>
    <row r="19">
      <c r="E19" s="22" t="inlineStr">
        <is>
          <t>Less items likely already owned</t>
        </is>
      </c>
      <c r="F19" s="42">
        <f>SUMIF(G5:G16,"Likely",F5:F16)</f>
        <v/>
      </c>
    </row>
    <row r="20">
      <c r="E20" s="22" t="inlineStr">
        <is>
          <t>Less Phase 3 (gated at Wk 10)</t>
        </is>
      </c>
      <c r="F20" s="42">
        <f>SUMIF(C5:C16,"P3",F5:F16)</f>
        <v/>
      </c>
    </row>
    <row r="21">
      <c r="E21" s="15" t="inlineStr">
        <is>
          <t>COMMITTED SPEND BEFORE WK 10</t>
        </is>
      </c>
      <c r="F21" s="41">
        <f>F18-F19-F20</f>
        <v/>
      </c>
    </row>
    <row r="23">
      <c r="E23" s="22" t="inlineStr">
        <is>
          <t>Budget ceiling</t>
        </is>
      </c>
      <c r="F23" s="43" t="n">
        <v>500</v>
      </c>
    </row>
    <row r="24">
      <c r="E24" s="15" t="inlineStr">
        <is>
          <t>Headroom vs. worst case (buy everything)</t>
        </is>
      </c>
      <c r="F24" s="41">
        <f>F23-F18</f>
        <v/>
      </c>
    </row>
    <row r="26">
      <c r="A26" s="44" t="inlineStr">
        <is>
          <t>* Do not order Phase 3 parts until the Week 10 go/no-go bench test passes. Ordering early converts a reversible decision into a sunk cost.</t>
        </is>
      </c>
    </row>
    <row r="27">
      <c r="A27" s="2" t="inlineStr">
        <is>
          <t>Assumption: GM6020 and USB-CAN adapter marked 'Likely' owned — confirm against the team's spares inventory in Week 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9" customWidth="1" min="3" max="3"/>
    <col width="11" customWidth="1" min="4" max="4"/>
    <col width="8" customWidth="1" min="5" max="5"/>
    <col width="11" customWidth="1" min="6" max="6"/>
    <col width="56" customWidth="1" min="7" max="7"/>
    <col width="8" customWidth="1" min="8" max="8"/>
    <col width="12" customWidth="1" min="9" max="9"/>
  </cols>
  <sheetData>
    <row r="1" ht="20" customHeight="1">
      <c r="A1" s="1" t="inlineStr">
        <is>
          <t>Risk Register</t>
        </is>
      </c>
    </row>
    <row r="2">
      <c r="A2" s="2" t="inlineStr">
        <is>
          <t>Score = Impact x Likelihood (1-5 each). Review at every gate. Blue cells are your scoring inputs.</t>
        </is>
      </c>
    </row>
    <row r="4" ht="34" customHeight="1">
      <c r="A4" s="3" t="inlineStr">
        <is>
          <t>ID</t>
        </is>
      </c>
      <c r="B4" s="3" t="inlineStr">
        <is>
          <t>Risk</t>
        </is>
      </c>
      <c r="C4" s="3" t="inlineStr">
        <is>
          <t>Impact
(1-5)</t>
        </is>
      </c>
      <c r="D4" s="3" t="inlineStr">
        <is>
          <t>Likelihood
(1-5)</t>
        </is>
      </c>
      <c r="E4" s="3" t="inlineStr">
        <is>
          <t>Score</t>
        </is>
      </c>
      <c r="F4" s="3" t="inlineStr">
        <is>
          <t>Severity</t>
        </is>
      </c>
      <c r="G4" s="3" t="inlineStr">
        <is>
          <t>Mitigation</t>
        </is>
      </c>
      <c r="H4" s="3" t="inlineStr">
        <is>
          <t>Owner</t>
        </is>
      </c>
      <c r="I4" s="3" t="inlineStr">
        <is>
          <t>Review at</t>
        </is>
      </c>
    </row>
    <row r="5">
      <c r="A5" s="45" t="inlineStr">
        <is>
          <t>R1</t>
        </is>
      </c>
      <c r="B5" s="30" t="inlineStr">
        <is>
          <t>Time sync cannot reach +/-200 us (camera lacks trigger/strobe line)</t>
        </is>
      </c>
      <c r="C5" s="32" t="n">
        <v>5</v>
      </c>
      <c r="D5" s="32" t="n">
        <v>3</v>
      </c>
      <c r="E5" s="31">
        <f>C5*D5</f>
        <v/>
      </c>
      <c r="F5" s="31">
        <f>IF(E5&gt;=15,"Critical",IF(E5&gt;=9,"High",IF(E5&gt;=4,"Medium","Low")))</f>
        <v/>
      </c>
      <c r="G5" s="30" t="inlineStr">
        <is>
          <t>Confirm camera trigger capability in Week 1 before any other purchase. Fallback: cap spin rate at ~1 rev/s so the artefact stays below the signal, and state the reduced range in every report.</t>
        </is>
      </c>
      <c r="H5" s="31" t="inlineStr">
        <is>
          <t>Self</t>
        </is>
      </c>
      <c r="I5" s="31" t="inlineStr">
        <is>
          <t>Wk 3 gate</t>
        </is>
      </c>
    </row>
    <row r="6">
      <c r="A6" s="46" t="inlineStr">
        <is>
          <t>R2</t>
        </is>
      </c>
      <c r="B6" s="36" t="inlineStr">
        <is>
          <t>Inherited stack undocumented, unbuildable, or unloggable</t>
        </is>
      </c>
      <c r="C6" s="38" t="n">
        <v>4</v>
      </c>
      <c r="D6" s="38" t="n">
        <v>4</v>
      </c>
      <c r="E6" s="37">
        <f>C6*D6</f>
        <v/>
      </c>
      <c r="F6" s="37">
        <f>IF(E6&gt;=15,"Critical",IF(E6&gt;=9,"High",IF(E6&gt;=4,"Medium","Low")))</f>
        <v/>
      </c>
      <c r="G6" s="36" t="inlineStr">
        <is>
          <t>Timeboxed 4-day archaeology spike ending in a written decision: instrument it, or replace the tracker with a minimal known-good one. Do not drift into an open-ended refactor.</t>
        </is>
      </c>
      <c r="H6" s="37" t="inlineStr">
        <is>
          <t>Self</t>
        </is>
      </c>
      <c r="I6" s="37" t="inlineStr">
        <is>
          <t>Wk 1</t>
        </is>
      </c>
    </row>
    <row r="7">
      <c r="A7" s="45" t="inlineStr">
        <is>
          <t>R3</t>
        </is>
      </c>
      <c r="B7" s="30" t="inlineStr">
        <is>
          <t>Solo builder + live season -&gt; project starved of time</t>
        </is>
      </c>
      <c r="C7" s="32" t="n">
        <v>4</v>
      </c>
      <c r="D7" s="32" t="n">
        <v>4</v>
      </c>
      <c r="E7" s="31">
        <f>C7*D7</f>
        <v/>
      </c>
      <c r="F7" s="31">
        <f>IF(E7&gt;=15,"Critical",IF(E7&gt;=9,"High",IF(E7&gt;=4,"Medium","Low")))</f>
        <v/>
      </c>
      <c r="G7" s="30" t="inlineStr">
        <is>
          <t>Every phase gate delivers standalone value. Week 6 payback gate. Prefer a finished Phase 1 over a half-finished Phase 3.</t>
        </is>
      </c>
      <c r="H7" s="31" t="inlineStr">
        <is>
          <t>Self</t>
        </is>
      </c>
      <c r="I7" s="31" t="inlineStr">
        <is>
          <t>Wk 6 gate</t>
        </is>
      </c>
    </row>
    <row r="8">
      <c r="A8" s="46" t="inlineStr">
        <is>
          <t>R4</t>
        </is>
      </c>
      <c r="B8" s="36" t="inlineStr">
        <is>
          <t>No spare referee system available for the target rig</t>
        </is>
      </c>
      <c r="C8" s="38" t="n">
        <v>2</v>
      </c>
      <c r="D8" s="38" t="n">
        <v>3</v>
      </c>
      <c r="E8" s="37">
        <f>C8*D8</f>
        <v/>
      </c>
      <c r="F8" s="37">
        <f>IF(E8&gt;=15,"Critical",IF(E8&gt;=9,"High",IF(E8&gt;=4,"Medium","Low")))</f>
        <v/>
      </c>
      <c r="G8" s="36" t="inlineStr">
        <is>
          <t>Witness paper covers spatial measurement independently, so referee counting is optional not blocking. Confirm availability by Week 6 (Q2).</t>
        </is>
      </c>
      <c r="H8" s="37" t="inlineStr">
        <is>
          <t>Self</t>
        </is>
      </c>
      <c r="I8" s="37" t="inlineStr">
        <is>
          <t>Wk 7</t>
        </is>
      </c>
    </row>
    <row r="9">
      <c r="A9" s="45" t="inlineStr">
        <is>
          <t>R5</t>
        </is>
      </c>
      <c r="B9" s="30" t="inlineStr">
        <is>
          <t>Piezo localisation misses the 25 mm accuracy target</t>
        </is>
      </c>
      <c r="C9" s="32" t="n">
        <v>3</v>
      </c>
      <c r="D9" s="32" t="n">
        <v>3</v>
      </c>
      <c r="E9" s="31">
        <f>C9*D9</f>
        <v/>
      </c>
      <c r="F9" s="31">
        <f>IF(E9&gt;=15,"Critical",IF(E9&gt;=9,"High",IF(E9&gt;=4,"Medium","Low")))</f>
        <v/>
      </c>
      <c r="G9" s="30" t="inlineStr">
        <is>
          <t>Week 10 bench go/no-go on a spare plate before any integration or full parts order. Reallocate to Phase 4 on a no-go.</t>
        </is>
      </c>
      <c r="H9" s="31" t="inlineStr">
        <is>
          <t>Self</t>
        </is>
      </c>
      <c r="I9" s="31" t="inlineStr">
        <is>
          <t>Wk 10 gate</t>
        </is>
      </c>
    </row>
    <row r="10">
      <c r="A10" s="46" t="inlineStr">
        <is>
          <t>R6</t>
        </is>
      </c>
      <c r="B10" s="36" t="inlineStr">
        <is>
          <t>Overfitting to the rig: tuned params help on the bench, hurt on a real robot</t>
        </is>
      </c>
      <c r="C10" s="38" t="n">
        <v>5</v>
      </c>
      <c r="D10" s="38" t="n">
        <v>4</v>
      </c>
      <c r="E10" s="37">
        <f>C10*D10</f>
        <v/>
      </c>
      <c r="F10" s="37">
        <f>IF(E10&gt;=15,"Critical",IF(E10&gt;=9,"High",IF(E10&gt;=4,"Medium","Low")))</f>
        <v/>
      </c>
      <c r="G10" s="36" t="inlineStr">
        <is>
          <t>The rig measures a proxy, not the goal. Mandate real-robot validation before adopting any tuned parameter (REQ-4.4). Keep held-out datasets (REQ-4.3). Vary lighting, range and background between recordings.</t>
        </is>
      </c>
      <c r="H10" s="37" t="inlineStr">
        <is>
          <t>Self</t>
        </is>
      </c>
      <c r="I10" s="37" t="inlineStr">
        <is>
          <t>Wk 13</t>
        </is>
      </c>
    </row>
    <row r="11">
      <c r="A11" s="45" t="inlineStr">
        <is>
          <t>R7</t>
        </is>
      </c>
      <c r="B11" s="30" t="inlineStr">
        <is>
          <t>Frame resonance or walk corrupts encoder truth at high spin</t>
        </is>
      </c>
      <c r="C11" s="32" t="n">
        <v>3</v>
      </c>
      <c r="D11" s="32" t="n">
        <v>2</v>
      </c>
      <c r="E11" s="31">
        <f>C11*D11</f>
        <v/>
      </c>
      <c r="F11" s="31">
        <f>IF(E11&gt;=15,"Critical",IF(E11&gt;=9,"High",IF(E11&gt;=4,"Medium","Low")))</f>
        <v/>
      </c>
      <c r="G11" s="30" t="inlineStr">
        <is>
          <t>Sweep spin rate looking for anomalous encoder residuals. Ballast or clamp the frame. Record a static-plate control run every session.</t>
        </is>
      </c>
      <c r="H11" s="31" t="inlineStr">
        <is>
          <t>Self</t>
        </is>
      </c>
      <c r="I11" s="31" t="inlineStr">
        <is>
          <t>Wk 5</t>
        </is>
      </c>
    </row>
    <row r="12">
      <c r="A12" s="46" t="inlineStr">
        <is>
          <t>R8</t>
        </is>
      </c>
      <c r="B12" s="36" t="inlineStr">
        <is>
          <t>Rig ground truth trusted without independent validation</t>
        </is>
      </c>
      <c r="C12" s="38" t="n">
        <v>4</v>
      </c>
      <c r="D12" s="38" t="n">
        <v>3</v>
      </c>
      <c r="E12" s="37">
        <f>C12*D12</f>
        <v/>
      </c>
      <c r="F12" s="37">
        <f>IF(E12&gt;=15,"Critical",IF(E12&gt;=9,"High",IF(E12&gt;=4,"Medium","Low")))</f>
        <v/>
      </c>
      <c r="G12" s="36" t="inlineStr">
        <is>
          <t>Film the plate with a phone at high frame rate and confirm the encoder-reported rate matches. Cheap, and it catches whole classes of wiring and unit errors.</t>
        </is>
      </c>
      <c r="H12" s="37" t="inlineStr">
        <is>
          <t>Self</t>
        </is>
      </c>
      <c r="I12" s="37" t="inlineStr">
        <is>
          <t>Wk 5</t>
        </is>
      </c>
    </row>
    <row r="13">
      <c r="A13" s="45" t="inlineStr">
        <is>
          <t>R9</t>
        </is>
      </c>
      <c r="B13" s="30" t="inlineStr">
        <is>
          <t>Injury from spinning plate or projectile</t>
        </is>
      </c>
      <c r="C13" s="32" t="n">
        <v>5</v>
      </c>
      <c r="D13" s="32" t="n">
        <v>2</v>
      </c>
      <c r="E13" s="31">
        <f>C13*D13</f>
        <v/>
      </c>
      <c r="F13" s="31">
        <f>IF(E13&gt;=15,"Critical",IF(E13&gt;=9,"High",IF(E13&gt;=4,"Medium","Low")))</f>
        <v/>
      </c>
      <c r="G13" s="30" t="inlineStr">
        <is>
          <t>Hardware E-stop cutting motor power (not software). Mechanical guard. Captive fasteners on the hub. Eye protection whenever the launcher is armed. Non-negotiable.</t>
        </is>
      </c>
      <c r="H13" s="31" t="inlineStr">
        <is>
          <t>Self</t>
        </is>
      </c>
      <c r="I13" s="31" t="inlineStr">
        <is>
          <t>Wk 4</t>
        </is>
      </c>
    </row>
    <row r="14">
      <c r="A14" s="46" t="inlineStr">
        <is>
          <t>R10</t>
        </is>
      </c>
      <c r="B14" s="36" t="inlineStr">
        <is>
          <t>Logging drops frames under load, biasing datasets toward easy scenes</t>
        </is>
      </c>
      <c r="C14" s="38" t="n">
        <v>4</v>
      </c>
      <c r="D14" s="38" t="n">
        <v>3</v>
      </c>
      <c r="E14" s="37">
        <f>C14*D14</f>
        <v/>
      </c>
      <c r="F14" s="37">
        <f>IF(E14&gt;=15,"Critical",IF(E14&gt;=9,"High",IF(E14&gt;=4,"Medium","Low")))</f>
        <v/>
      </c>
      <c r="G14" s="36" t="inlineStr">
        <is>
          <t>Measure disk throughput and CPU headroom in Week 1 (Q4). Assert on dropped-frame counters and fail loudly rather than silently.</t>
        </is>
      </c>
      <c r="H14" s="37" t="inlineStr">
        <is>
          <t>Self</t>
        </is>
      </c>
      <c r="I14" s="37" t="inlineStr">
        <is>
          <t>Wk 2</t>
        </is>
      </c>
    </row>
    <row r="16">
      <c r="B16" s="15" t="inlineStr">
        <is>
          <t>Highest score:</t>
        </is>
      </c>
      <c r="E16" s="16">
        <f>MAX(E5:E14)</f>
        <v/>
      </c>
    </row>
    <row r="17">
      <c r="B17" s="2" t="inlineStr">
        <is>
          <t>Severity thresholds: Critical &gt;=15, High &gt;=9, Medium &gt;=4, Low &lt;4.</t>
        </is>
      </c>
    </row>
  </sheetData>
  <conditionalFormatting sqref="F5:F14">
    <cfRule type="cellIs" priority="1" operator="equal" dxfId="3">
      <formula>"Critical"</formula>
    </cfRule>
    <cfRule type="cellIs" priority="2" operator="equal" dxfId="4">
      <formula>"High"</formula>
    </cfRule>
    <cfRule type="cellIs" priority="3" operator="equal" dxfId="2">
      <formula>"Medium"</formula>
    </cfRule>
    <cfRule type="cellIs" priority="4" operator="equal" dxfId="0">
      <formula>"Low"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30" customWidth="1" min="3" max="3"/>
    <col width="14" customWidth="1" min="4" max="4"/>
    <col width="9" customWidth="1" min="5" max="5"/>
    <col width="13" customWidth="1" min="6" max="6"/>
    <col width="48" customWidth="1" min="7" max="7"/>
  </cols>
  <sheetData>
    <row r="1" ht="20" customHeight="1">
      <c r="A1" s="1" t="inlineStr">
        <is>
          <t>Success Metrics</t>
        </is>
      </c>
    </row>
    <row r="2">
      <c r="A2" s="2" t="inlineStr">
        <is>
          <t>Blue cells are yours to fill in as measurements land. Status computes automatically where a target is numeric.</t>
        </is>
      </c>
    </row>
    <row r="4" ht="30" customHeight="1">
      <c r="A4" s="3" t="inlineStr">
        <is>
          <t>ID</t>
        </is>
      </c>
      <c r="B4" s="3" t="inlineStr">
        <is>
          <t>Metric</t>
        </is>
      </c>
      <c r="C4" s="3" t="inlineStr">
        <is>
          <t>Target</t>
        </is>
      </c>
      <c r="D4" s="3" t="inlineStr">
        <is>
          <t>Actual</t>
        </is>
      </c>
      <c r="E4" s="3" t="inlineStr">
        <is>
          <t>Due</t>
        </is>
      </c>
      <c r="F4" s="3" t="inlineStr">
        <is>
          <t>Status</t>
        </is>
      </c>
      <c r="G4" s="3" t="inlineStr">
        <is>
          <t>How measured</t>
        </is>
      </c>
    </row>
    <row r="5">
      <c r="A5" s="45" t="inlineStr">
        <is>
          <t>M1</t>
        </is>
      </c>
      <c r="B5" s="30" t="inlineStr">
        <is>
          <t>Ground-truth uncertainty at 3 rev/s</t>
        </is>
      </c>
      <c r="C5" s="30" t="inlineStr">
        <is>
          <t>&lt;= 0.25 deg</t>
        </is>
      </c>
      <c r="D5" s="32" t="n"/>
      <c r="E5" s="31" t="inlineStr">
        <is>
          <t>Wk 3</t>
        </is>
      </c>
      <c r="F5" s="31" t="inlineStr">
        <is>
          <t>Pending</t>
        </is>
      </c>
      <c r="G5" s="30" t="inlineStr">
        <is>
          <t>LED sync test + encoder spec, recorded in dataset metadata</t>
        </is>
      </c>
    </row>
    <row r="6">
      <c r="A6" s="46" t="inlineStr">
        <is>
          <t>M2</t>
        </is>
      </c>
      <c r="B6" s="36" t="inlineStr">
        <is>
          <t>Estimator error characterised</t>
        </is>
      </c>
      <c r="C6" s="36" t="inlineStr">
        <is>
          <t>Bias, latency, noise at 3 spin rates</t>
        </is>
      </c>
      <c r="D6" s="38" t="n"/>
      <c r="E6" s="37" t="inlineStr">
        <is>
          <t>Wk 6</t>
        </is>
      </c>
      <c r="F6" s="37" t="inlineStr">
        <is>
          <t>Pending</t>
        </is>
      </c>
      <c r="G6" s="36" t="inlineStr">
        <is>
          <t>Phase 1 report; latency by cross-correlation lag</t>
        </is>
      </c>
    </row>
    <row r="7">
      <c r="A7" s="45" t="inlineStr">
        <is>
          <t>M3</t>
        </is>
      </c>
      <c r="B7" s="30" t="inlineStr">
        <is>
          <t>Tuning cycle time</t>
        </is>
      </c>
      <c r="C7" s="30" t="inlineStr">
        <is>
          <t>&lt;= 10 min, param change to number</t>
        </is>
      </c>
      <c r="D7" s="32" t="n"/>
      <c r="E7" s="31" t="inlineStr">
        <is>
          <t>Wk 8</t>
        </is>
      </c>
      <c r="F7" s="31" t="inlineStr">
        <is>
          <t>Pending</t>
        </is>
      </c>
      <c r="G7" s="30" t="inlineStr">
        <is>
          <t>Stopwatch over 5 trials</t>
        </is>
      </c>
    </row>
    <row r="8">
      <c r="A8" s="46" t="inlineStr">
        <is>
          <t>M4</t>
        </is>
      </c>
      <c r="B8" s="36" t="inlineStr">
        <is>
          <t>Real adoption</t>
        </is>
      </c>
      <c r="C8" s="36" t="inlineStr">
        <is>
          <t>&gt;= 3 tuning decisions on rig data</t>
        </is>
      </c>
      <c r="D8" s="38" t="n"/>
      <c r="E8" s="37" t="inlineStr">
        <is>
          <t>Wk 10</t>
        </is>
      </c>
      <c r="F8" s="37" t="inlineStr">
        <is>
          <t>Pending</t>
        </is>
      </c>
      <c r="G8" s="36" t="inlineStr">
        <is>
          <t>Decision log. THE metric that matters most.</t>
        </is>
      </c>
    </row>
    <row r="9">
      <c r="A9" s="45" t="inlineStr">
        <is>
          <t>M5</t>
        </is>
      </c>
      <c r="B9" s="30" t="inlineStr">
        <is>
          <t>Measured improvement</t>
        </is>
      </c>
      <c r="C9" s="30" t="inlineStr">
        <is>
          <t>&gt;= 30% error reduction vs. Wk 6 baseline</t>
        </is>
      </c>
      <c r="D9" s="32" t="n"/>
      <c r="E9" s="31" t="inlineStr">
        <is>
          <t>Wk 14</t>
        </is>
      </c>
      <c r="F9" s="31" t="inlineStr">
        <is>
          <t>Pending</t>
        </is>
      </c>
      <c r="G9" s="30" t="inlineStr">
        <is>
          <t>Same rig, same protocol, re-measured</t>
        </is>
      </c>
    </row>
    <row r="10">
      <c r="A10" s="46" t="inlineStr">
        <is>
          <t>M6</t>
        </is>
      </c>
      <c r="B10" s="36" t="inlineStr">
        <is>
          <t>Live-fire baseline</t>
        </is>
      </c>
      <c r="C10" s="36" t="inlineStr">
        <is>
          <t>Hit rate vs. spin rate, with dispersion floor</t>
        </is>
      </c>
      <c r="D10" s="38" t="n"/>
      <c r="E10" s="37" t="inlineStr">
        <is>
          <t>Wk 9</t>
        </is>
      </c>
      <c r="F10" s="37" t="inlineStr">
        <is>
          <t>Pending</t>
        </is>
      </c>
      <c r="G10" s="36" t="inlineStr">
        <is>
          <t>Phase 2 chart from witness paper + referee counts</t>
        </is>
      </c>
    </row>
    <row r="11">
      <c r="A11" s="45" t="inlineStr">
        <is>
          <t>M7</t>
        </is>
      </c>
      <c r="B11" s="30" t="inlineStr">
        <is>
          <t>Impact localisation (if P3 proceeds)</t>
        </is>
      </c>
      <c r="C11" s="30" t="inlineStr">
        <is>
          <t>&lt;= 25 mm RMS, &gt;= 95% quadrant</t>
        </is>
      </c>
      <c r="D11" s="32" t="n"/>
      <c r="E11" s="31" t="inlineStr">
        <is>
          <t>Wk 14</t>
        </is>
      </c>
      <c r="F11" s="31" t="inlineStr">
        <is>
          <t>Pending</t>
        </is>
      </c>
      <c r="G11" s="30" t="inlineStr">
        <is>
          <t>Held-out grid positions, not calibration positions</t>
        </is>
      </c>
    </row>
  </sheetData>
  <conditionalFormatting sqref="F5:F11">
    <cfRule type="cellIs" priority="1" operator="equal" dxfId="0">
      <formula>"Met"</formula>
    </cfRule>
    <cfRule type="cellIs" priority="2" operator="equal" dxfId="1">
      <formula>"Missed"</formula>
    </cfRule>
    <cfRule type="cellIs" priority="3" operator="equal" dxfId="2">
      <formula>"At risk"</formula>
    </cfRule>
  </conditionalFormatting>
  <dataValidations count="1">
    <dataValidation sqref="F5:F11" showDropDown="0" showInputMessage="0" showErrorMessage="0" allowBlank="1" type="list">
      <formula1>"Pending,On track,At risk,Met,Missed,Descoped"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38" customWidth="1" min="3" max="3"/>
    <col width="11" customWidth="1" min="4" max="4"/>
    <col width="13" customWidth="1" min="5" max="5"/>
    <col width="34" customWidth="1" min="6" max="6"/>
  </cols>
  <sheetData>
    <row r="1" ht="20" customHeight="1">
      <c r="A1" s="1" t="inlineStr">
        <is>
          <t>Open Questions</t>
        </is>
      </c>
    </row>
    <row r="2">
      <c r="A2" s="2" t="inlineStr">
        <is>
          <t>Q1 and Q4 gate Week 1 and should be answered before anything is ordered.</t>
        </is>
      </c>
    </row>
    <row r="4" ht="30" customHeight="1">
      <c r="A4" s="3" t="inlineStr">
        <is>
          <t>ID</t>
        </is>
      </c>
      <c r="B4" s="3" t="inlineStr">
        <is>
          <t>Question</t>
        </is>
      </c>
      <c r="C4" s="3" t="inlineStr">
        <is>
          <t>Blocks</t>
        </is>
      </c>
      <c r="D4" s="3" t="inlineStr">
        <is>
          <t>Needed by</t>
        </is>
      </c>
      <c r="E4" s="3" t="inlineStr">
        <is>
          <t>Status</t>
        </is>
      </c>
      <c r="F4" s="3" t="inlineStr">
        <is>
          <t>Answer</t>
        </is>
      </c>
    </row>
    <row r="5" ht="32" customHeight="1">
      <c r="A5" s="45" t="inlineStr">
        <is>
          <t>Q1</t>
        </is>
      </c>
      <c r="B5" s="30" t="inlineStr">
        <is>
          <t>What camera does the aimbot use, and does it expose an external trigger input or a strobe output?</t>
        </is>
      </c>
      <c r="C5" s="30" t="inlineStr">
        <is>
          <t>REQ-0.3, the whole time-base design, and the usable spin-rate range</t>
        </is>
      </c>
      <c r="D5" s="31" t="inlineStr">
        <is>
          <t>Wk 1</t>
        </is>
      </c>
      <c r="E5" s="31" t="inlineStr">
        <is>
          <t>Open</t>
        </is>
      </c>
      <c r="F5" s="47" t="inlineStr"/>
    </row>
    <row r="6" ht="32" customHeight="1">
      <c r="A6" s="46" t="inlineStr">
        <is>
          <t>Q4</t>
        </is>
      </c>
      <c r="B6" s="36" t="inlineStr">
        <is>
          <t>What compute runs the aimbot, and does it have spare CPU and disk throughput for full-rate logging?</t>
        </is>
      </c>
      <c r="C6" s="36" t="inlineStr">
        <is>
          <t>REQ-0.1 - logging that drops frames under load produces biased datasets</t>
        </is>
      </c>
      <c r="D6" s="37" t="inlineStr">
        <is>
          <t>Wk 1</t>
        </is>
      </c>
      <c r="E6" s="37" t="inlineStr">
        <is>
          <t>Open</t>
        </is>
      </c>
      <c r="F6" s="48" t="inlineStr"/>
    </row>
    <row r="7" ht="32" customHeight="1">
      <c r="A7" s="45" t="inlineStr">
        <is>
          <t>Q5</t>
        </is>
      </c>
      <c r="B7" s="30" t="inlineStr">
        <is>
          <t>Which armor plate size is the reference target: small (~135 mm) or large (~235 mm)?</t>
        </is>
      </c>
      <c r="C7" s="30" t="inlineStr">
        <is>
          <t>Hub design, piezo geometry, calibration grid</t>
        </is>
      </c>
      <c r="D7" s="31" t="inlineStr">
        <is>
          <t>Wk 2</t>
        </is>
      </c>
      <c r="E7" s="31" t="inlineStr">
        <is>
          <t>Open</t>
        </is>
      </c>
      <c r="F7" s="47" t="inlineStr"/>
    </row>
    <row r="8" ht="32" customHeight="1">
      <c r="A8" s="46" t="inlineStr">
        <is>
          <t>Q2</t>
        </is>
      </c>
      <c r="B8" s="36" t="inlineStr">
        <is>
          <t>Is a spare referee system set available to mount on the target rig?</t>
        </is>
      </c>
      <c r="C8" s="36" t="inlineStr">
        <is>
          <t>Phase 2 hit counting (not spatial measurement, which paper covers)</t>
        </is>
      </c>
      <c r="D8" s="37" t="inlineStr">
        <is>
          <t>Wk 6</t>
        </is>
      </c>
      <c r="E8" s="37" t="inlineStr">
        <is>
          <t>Open</t>
        </is>
      </c>
      <c r="F8" s="48" t="inlineStr"/>
    </row>
    <row r="9" ht="32" customHeight="1">
      <c r="A9" s="45" t="inlineStr">
        <is>
          <t>Q3</t>
        </is>
      </c>
      <c r="B9" s="30" t="inlineStr">
        <is>
          <t>Is there a space where the launcher can be fired safely and repeatedly at a fixed range?</t>
        </is>
      </c>
      <c r="C9" s="30" t="inlineStr">
        <is>
          <t>All of Phase 2; may force a shorter test range</t>
        </is>
      </c>
      <c r="D9" s="31" t="inlineStr">
        <is>
          <t>Wk 6</t>
        </is>
      </c>
      <c r="E9" s="31" t="inlineStr">
        <is>
          <t>Open</t>
        </is>
      </c>
      <c r="F9" s="47" t="inlineStr"/>
    </row>
    <row r="10" ht="32" customHeight="1">
      <c r="A10" s="46" t="inlineStr">
        <is>
          <t>Q6</t>
        </is>
      </c>
      <c r="B10" s="36" t="inlineStr">
        <is>
          <t>Will anyone else on the team use this, even informally?</t>
        </is>
      </c>
      <c r="C10" s="36" t="inlineStr">
        <is>
          <t>Whether any documentation effort is justified at all</t>
        </is>
      </c>
      <c r="D10" s="37" t="inlineStr">
        <is>
          <t>Wk 8</t>
        </is>
      </c>
      <c r="E10" s="37" t="inlineStr">
        <is>
          <t>Open</t>
        </is>
      </c>
      <c r="F10" s="48" t="inlineStr"/>
    </row>
    <row r="12">
      <c r="B12" s="2" t="inlineStr">
        <is>
          <t>Legend: blue cells are for you to fill in. Answer Q1 before ordering anything - it determines whether the project's core premise holds.</t>
        </is>
      </c>
    </row>
  </sheetData>
  <conditionalFormatting sqref="E5:E10">
    <cfRule type="cellIs" priority="1" operator="equal" dxfId="0">
      <formula>"Answered"</formula>
    </cfRule>
    <cfRule type="cellIs" priority="2" operator="equal" dxfId="2">
      <formula>"Open"</formula>
    </cfRule>
  </conditionalFormatting>
  <dataValidations count="1">
    <dataValidation sqref="E5:E10" showDropDown="0" showInputMessage="0" showErrorMessage="0" allowBlank="1" type="list">
      <formula1>"Open,Answered,Blocked,Moot"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0" customHeight="1">
      <c r="A1" s="1" t="inlineStr">
        <is>
          <t>Time-Base Error Budget</t>
        </is>
      </c>
    </row>
    <row r="2">
      <c r="A2" s="2" t="inlineStr">
        <is>
          <t>The calculation behind the project's hardest requirement. Blue cells are inputs - change them to test your own setup.</t>
        </is>
      </c>
    </row>
    <row r="4">
      <c r="A4" s="21" t="inlineStr">
        <is>
          <t>INPUTS</t>
        </is>
      </c>
    </row>
    <row r="5">
      <c r="A5" s="22" t="inlineStr">
        <is>
          <t>Max target spin rate (rev/s)</t>
        </is>
      </c>
      <c r="B5" s="49" t="n">
        <v>3</v>
      </c>
    </row>
    <row r="6">
      <c r="A6" s="22" t="inlineStr">
        <is>
          <t>Assumed clock skew, software timestamps (ms)</t>
        </is>
      </c>
      <c r="B6" s="49" t="n">
        <v>2</v>
      </c>
    </row>
    <row r="7">
      <c r="A7" s="22" t="inlineStr">
        <is>
          <t>Assumed clock skew, hardware trigger (ms)</t>
        </is>
      </c>
      <c r="B7" s="50" t="n">
        <v>0.05</v>
      </c>
    </row>
    <row r="8">
      <c r="A8" s="22" t="inlineStr">
        <is>
          <t>Encoder counts per revolution (GM6020)</t>
        </is>
      </c>
      <c r="B8" s="51" t="n">
        <v>8192</v>
      </c>
    </row>
    <row r="9">
      <c r="A9" s="22" t="inlineStr">
        <is>
          <t>Smallest aiming error we want to resolve (deg)</t>
        </is>
      </c>
      <c r="B9" s="52" t="n">
        <v>0.5</v>
      </c>
    </row>
    <row r="12">
      <c r="A12" s="21" t="inlineStr">
        <is>
          <t>DERIVED</t>
        </is>
      </c>
    </row>
    <row r="13">
      <c r="A13" s="22" t="inlineStr">
        <is>
          <t>Angular velocity at max spin (deg/s)</t>
        </is>
      </c>
      <c r="B13" s="53">
        <f>B5*360</f>
        <v/>
      </c>
    </row>
    <row r="14">
      <c r="A14" s="22" t="inlineStr">
        <is>
          <t>Apparent error from software timestamps (deg)</t>
        </is>
      </c>
      <c r="B14" s="54">
        <f>B13*(B6/1000)</f>
        <v/>
      </c>
    </row>
    <row r="15">
      <c r="A15" s="22" t="inlineStr">
        <is>
          <t>Apparent error from hardware trigger (deg)</t>
        </is>
      </c>
      <c r="B15" s="54">
        <f>B13*(B7/1000)</f>
        <v/>
      </c>
    </row>
    <row r="16">
      <c r="A16" s="22" t="inlineStr">
        <is>
          <t>Encoder quantisation (deg)</t>
        </is>
      </c>
      <c r="B16" s="54">
        <f>360/B8</f>
        <v/>
      </c>
    </row>
    <row r="17">
      <c r="A17" s="15" t="inlineStr">
        <is>
          <t>Combined hardware-path uncertainty (deg, RSS)</t>
        </is>
      </c>
      <c r="B17" s="55">
        <f>SQRT(B15^2+B16^2)</f>
        <v/>
      </c>
    </row>
    <row r="18">
      <c r="A18" s="15" t="inlineStr">
        <is>
          <t>Software path as % of the signal we want to resolve</t>
        </is>
      </c>
      <c r="B18" s="24">
        <f>B14/B9</f>
        <v/>
      </c>
    </row>
    <row r="19">
      <c r="A19" s="15" t="inlineStr">
        <is>
          <t>Hardware path as % of the signal we want to resolve</t>
        </is>
      </c>
      <c r="B19" s="24">
        <f>B17/B9</f>
        <v/>
      </c>
    </row>
    <row r="21">
      <c r="A21" s="21" t="inlineStr">
        <is>
          <t>VERDICT</t>
        </is>
      </c>
    </row>
    <row r="22">
      <c r="A22" s="15">
        <f>IF(B17&lt;=0.25,"PASS - hardware-triggered path meets REQ-T2 (&lt;=0.25 deg).","FAIL - reduce spin rate or improve triggering.")</f>
        <v/>
      </c>
    </row>
    <row r="23">
      <c r="A23" s="56">
        <f>IF(B18&gt;0.5,"Software timestamping fabricates more than half the error you are trying to measure. Do not use it.","Software timestamping may be tolerable at this spin rate.")</f>
        <v/>
      </c>
    </row>
    <row r="26">
      <c r="A26" s="21" t="inlineStr">
        <is>
          <t>SENSITIVITY: apparent angular error (deg) by spin rate and clock skew</t>
        </is>
      </c>
    </row>
    <row r="27">
      <c r="A27" s="57" t="inlineStr">
        <is>
          <t>Spin rate (rev/s)  \  Clock skew (ms)</t>
        </is>
      </c>
      <c r="B27" s="58" t="n">
        <v>0.05</v>
      </c>
      <c r="C27" s="58" t="n">
        <v>0.2</v>
      </c>
      <c r="D27" s="58" t="n">
        <v>1</v>
      </c>
      <c r="E27" s="58" t="n">
        <v>2</v>
      </c>
      <c r="F27" s="58" t="n">
        <v>5</v>
      </c>
    </row>
    <row r="28">
      <c r="A28" s="59" t="n">
        <v>0.5</v>
      </c>
      <c r="B28" s="60">
        <f>$A28*360*(B$27/1000)</f>
        <v/>
      </c>
      <c r="C28" s="60">
        <f>$A28*360*(C$27/1000)</f>
        <v/>
      </c>
      <c r="D28" s="60">
        <f>$A28*360*(D$27/1000)</f>
        <v/>
      </c>
      <c r="E28" s="60">
        <f>$A28*360*(E$27/1000)</f>
        <v/>
      </c>
      <c r="F28" s="60">
        <f>$A28*360*(F$27/1000)</f>
        <v/>
      </c>
    </row>
    <row r="29">
      <c r="A29" s="59" t="n">
        <v>1</v>
      </c>
      <c r="B29" s="60">
        <f>$A29*360*(B$27/1000)</f>
        <v/>
      </c>
      <c r="C29" s="60">
        <f>$A29*360*(C$27/1000)</f>
        <v/>
      </c>
      <c r="D29" s="60">
        <f>$A29*360*(D$27/1000)</f>
        <v/>
      </c>
      <c r="E29" s="60">
        <f>$A29*360*(E$27/1000)</f>
        <v/>
      </c>
      <c r="F29" s="60">
        <f>$A29*360*(F$27/1000)</f>
        <v/>
      </c>
    </row>
    <row r="30">
      <c r="A30" s="59" t="n">
        <v>1.5</v>
      </c>
      <c r="B30" s="60">
        <f>$A30*360*(B$27/1000)</f>
        <v/>
      </c>
      <c r="C30" s="60">
        <f>$A30*360*(C$27/1000)</f>
        <v/>
      </c>
      <c r="D30" s="60">
        <f>$A30*360*(D$27/1000)</f>
        <v/>
      </c>
      <c r="E30" s="60">
        <f>$A30*360*(E$27/1000)</f>
        <v/>
      </c>
      <c r="F30" s="60">
        <f>$A30*360*(F$27/1000)</f>
        <v/>
      </c>
    </row>
    <row r="31">
      <c r="A31" s="59" t="n">
        <v>2</v>
      </c>
      <c r="B31" s="60">
        <f>$A31*360*(B$27/1000)</f>
        <v/>
      </c>
      <c r="C31" s="60">
        <f>$A31*360*(C$27/1000)</f>
        <v/>
      </c>
      <c r="D31" s="60">
        <f>$A31*360*(D$27/1000)</f>
        <v/>
      </c>
      <c r="E31" s="60">
        <f>$A31*360*(E$27/1000)</f>
        <v/>
      </c>
      <c r="F31" s="60">
        <f>$A31*360*(F$27/1000)</f>
        <v/>
      </c>
    </row>
    <row r="32">
      <c r="A32" s="59" t="n">
        <v>3</v>
      </c>
      <c r="B32" s="60">
        <f>$A32*360*(B$27/1000)</f>
        <v/>
      </c>
      <c r="C32" s="60">
        <f>$A32*360*(C$27/1000)</f>
        <v/>
      </c>
      <c r="D32" s="60">
        <f>$A32*360*(D$27/1000)</f>
        <v/>
      </c>
      <c r="E32" s="60">
        <f>$A32*360*(E$27/1000)</f>
        <v/>
      </c>
      <c r="F32" s="60">
        <f>$A32*360*(F$27/1000)</f>
        <v/>
      </c>
    </row>
    <row r="34">
      <c r="A34" s="2" t="inlineStr">
        <is>
          <t>Red = the measurement artefact exceeds the 0.5 deg error you are trying to detect. Green = comfortably below it.</t>
        </is>
      </c>
    </row>
    <row r="35">
      <c r="A35" s="2" t="inlineStr">
        <is>
          <t>Source of encoder spec: DJI GM6020 absolute encoder, 8192 counts/rev. All other values are inputs you can change.</t>
        </is>
      </c>
    </row>
  </sheetData>
  <conditionalFormatting sqref="B28:F32">
    <cfRule type="cellIs" priority="1" operator="greaterThan" dxfId="1">
      <formula>0.5</formula>
    </cfRule>
    <cfRule type="cellIs" priority="2" operator="between" dxfId="5">
      <formula>0.25</formula>
      <formula>0.5</formula>
    </cfRule>
    <cfRule type="cellIs" priority="3" operator="lessThan" dxfId="6">
      <formula>0.25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2026-07-28T08:32:05Z</dcterms:created>
  <dcterms:modified xmlns:dcterms="http://purl.org/dc/terms/" xmlns:xsi="http://www.w3.org/2001/XMLSchema-instance" xsi:type="dcterms:W3CDTF">2026-07-28T08:32:05Z</dcterms:modified>
</cp:coreProperties>
</file>