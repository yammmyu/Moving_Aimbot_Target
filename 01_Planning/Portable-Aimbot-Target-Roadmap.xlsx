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Dashboard" sheetId="2" state="visible" r:id="rId4"/>
    <sheet name="Weight Budget" sheetId="3" state="visible" r:id="rId5"/>
    <sheet name="Packing" sheetId="4" state="visible" r:id="rId6"/>
    <sheet name="BOM" sheetId="5" state="visible" r:id="rId7"/>
    <sheet name="Risks" sheetId="6" state="visible" r:id="rId8"/>
    <sheet name="Metrics" sheetId="7" state="visible" r:id="rId9"/>
    <sheet name="Open Ques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<sst xmlns="http://schemas.openxmlformats.org/spreadsheetml/2006/main" count="662" uniqueCount="449">
  <si>
    <t xml:space="preserve">Portable Aimbot Target - 26-Week Roadmap</t>
  </si>
  <si>
    <t xml:space="preserve">Week 1 = w/c 2026-08-03. Phase 1 ships a usable workshop target by Week 6. Update Status; the Dashboard rolls up.</t>
  </si>
  <si>
    <t xml:space="preserve">Wk</t>
  </si>
  <si>
    <t xml:space="preserve">Week of</t>
  </si>
  <si>
    <t xml:space="preserve">Phase</t>
  </si>
  <si>
    <t xml:space="preserve">Work item</t>
  </si>
  <si>
    <t xml:space="preserve">Deliverable / exit criterion</t>
  </si>
  <si>
    <t xml:space="preserve">Depends on</t>
  </si>
  <si>
    <t xml:space="preserve">Days</t>
  </si>
  <si>
    <t xml:space="preserve">Status</t>
  </si>
  <si>
    <t xml:space="preserve">Risk</t>
  </si>
  <si>
    <t xml:space="preserve">1 Workshop target</t>
  </si>
  <si>
    <t xml:space="preserve">Freeze head-to-base interface spec (REQ-M6)</t>
  </si>
  <si>
    <t xml:space="preserve">Bolt/slot pattern, vertical datum, single 24V+data connector. Written down and treated as frozen.</t>
  </si>
  <si>
    <t xml:space="preserve">-</t>
  </si>
  <si>
    <t xml:space="preserve">Not started</t>
  </si>
  <si>
    <t xml:space="preserve">Define transport envelope + weight budget baseline</t>
  </si>
  <si>
    <t xml:space="preserve">Case shape candidates costed; every head part gets a max-dimension and mass allocation before it is designed.</t>
  </si>
  <si>
    <t xml:space="preserve">R3</t>
  </si>
  <si>
    <t xml:space="preserve">Confirm fabrication access (Q7)</t>
  </si>
  <si>
    <t xml:space="preserve">3D printer / machining / hand-cut only. Sets realistic effort for every mechanical part.</t>
  </si>
  <si>
    <t xml:space="preserve">Head hub + arm design, inertia budgeted (REQ-M1, M2)</t>
  </si>
  <si>
    <t xml:space="preserve">Head inertia estimated BEFORE build; plate radius minimised (inertia scales with r^2).</t>
  </si>
  <si>
    <t xml:space="preserve">Interface</t>
  </si>
  <si>
    <t xml:space="preserve">R9</t>
  </si>
  <si>
    <t xml:space="preserve">Workshop base - deliberately crude, heavy, ballasted (REQ-M7)</t>
  </si>
  <si>
    <t xml:space="preserve">Steel plate and ballast. No design effort spent here on purpose.</t>
  </si>
  <si>
    <t xml:space="preserve">Fabricate head; route wiring through GM6020 hollow shaft (REQ-M4)</t>
  </si>
  <si>
    <t xml:space="preserve">Head assembled. 18mm hollow shaft carries power/data on the rotation axis.</t>
  </si>
  <si>
    <t xml:space="preserve">Design</t>
  </si>
  <si>
    <t xml:space="preserve">Joint design pass: locate vs. clamp on every joint (REQ-M10..M13)</t>
  </si>
  <si>
    <t xml:space="preserve">Every structural joint has a locating feature AND a separate preload element. All fasteners captive.</t>
  </si>
  <si>
    <t xml:space="preserve">Head</t>
  </si>
  <si>
    <t xml:space="preserve">R1</t>
  </si>
  <si>
    <t xml:space="preserve">Motor control: 0.25-3.0 rev/s, speed hold within 2% (REQ-M2)</t>
  </si>
  <si>
    <t xml:space="preserve">Commanded vs. actual logged. Static hold mode works. Spin-up time measured.</t>
  </si>
  <si>
    <t xml:space="preserve">Safety: hardware E-stop, balance verification, guarding (R11)</t>
  </si>
  <si>
    <t xml:space="preserve">E-stop cuts motor power in HARDWARE. Balance checked before first full-speed run.</t>
  </si>
  <si>
    <t xml:space="preserve">Motor ctrl</t>
  </si>
  <si>
    <t xml:space="preserve">R10</t>
  </si>
  <si>
    <t xml:space="preserve">Endurance session + full joint re-check (R1)</t>
  </si>
  <si>
    <t xml:space="preserve">Run at full speed for a realistic session, then inspect every joint. Loose joints found NOW, not in month 5.</t>
  </si>
  <si>
    <t xml:space="preserve">Safety</t>
  </si>
  <si>
    <t xml:space="preserve">Weigh every head part against the budget</t>
  </si>
  <si>
    <t xml:space="preserve">Actual masses replace estimates in the Weight Budget tab.</t>
  </si>
  <si>
    <t xml:space="preserve">Phase 1 acceptance: a TEAMMATE runs a full session unaided (M2)</t>
  </si>
  <si>
    <t xml:space="preserve">Someone who did not build it sets up and practises without asking how. Tests the design, not your memory.</t>
  </si>
  <si>
    <t xml:space="preserve">Endurance</t>
  </si>
  <si>
    <t xml:space="preserve">R5</t>
  </si>
  <si>
    <t xml:space="preserve">GATE</t>
  </si>
  <si>
    <t xml:space="preserve">WEEK 6 ADOPTION GATE - does a teammate reach for it unprompted?</t>
  </si>
  <si>
    <t xml:space="preserve">If not, understand why before adding rail, sensors or a suitcase to it.</t>
  </si>
  <si>
    <t xml:space="preserve">Session</t>
  </si>
  <si>
    <t xml:space="preserve">2 Rail</t>
  </si>
  <si>
    <t xml:space="preserve">Rail spec: length, mounting, workshop constraints (Q5)</t>
  </si>
  <si>
    <t xml:space="preserve">Confirmed against the actual space. Belt drive, stationary motor at one end (REQ-M8).</t>
  </si>
  <si>
    <t xml:space="preserve">Build rail: extrusion, V-wheel carriage, belt drive</t>
  </si>
  <si>
    <t xml:space="preserve">Carriage runs smoothly full length. Limit switches fitted.</t>
  </si>
  <si>
    <t xml:space="preserve">Rail spec</t>
  </si>
  <si>
    <t xml:space="preserve">Carriage mounts head via the frozen interface</t>
  </si>
  <si>
    <t xml:space="preserve">Head bolts on with no rework. Proves the interface spec was right.</t>
  </si>
  <si>
    <t xml:space="preserve">Rail, Interface</t>
  </si>
  <si>
    <t xml:space="preserve">Unified control: translation + spin together</t>
  </si>
  <si>
    <t xml:space="preserve">One interface commands both axes. Repeatable motion patterns.</t>
  </si>
  <si>
    <t xml:space="preserve">Carriage</t>
  </si>
  <si>
    <t xml:space="preserve">Rail acceptance: reliable over a full session</t>
  </si>
  <si>
    <t xml:space="preserve">No jams, no belt skip, no limit-switch faults across a practice session.</t>
  </si>
  <si>
    <t xml:space="preserve">Control</t>
  </si>
  <si>
    <t xml:space="preserve">3 Plates + UI</t>
  </si>
  <si>
    <t xml:space="preserve">ONE prototype instrumented plate (REQ-E5)</t>
  </si>
  <si>
    <t xml:space="preserve">Single plate, 4 piezos, comparator front end. Built to learn, not to ship.</t>
  </si>
  <si>
    <t xml:space="preserve">Wk6 gate</t>
  </si>
  <si>
    <t xml:space="preserve">R4</t>
  </si>
  <si>
    <t xml:space="preserve">Bench characterisation against a tap grid (REQ-E4)</t>
  </si>
  <si>
    <t xml:space="preserve">Empirical calibration map. Measured RMS error on HELD-OUT grid positions.</t>
  </si>
  <si>
    <t xml:space="preserve">Prototype</t>
  </si>
  <si>
    <t xml:space="preserve">WEEK 10 PLATE GATE - RMS &lt;= 25mm on the prototype?</t>
  </si>
  <si>
    <t xml:space="preserve">If no: do not build four. Ship with stock plates + referee counting, which is still a good training tool.</t>
  </si>
  <si>
    <t xml:space="preserve">Bench test</t>
  </si>
  <si>
    <t xml:space="preserve">Rotating-frame electronics: head MCU + slip ring (REQ-E1..E3)</t>
  </si>
  <si>
    <t xml:space="preserve">Only digital events cross the interface. Slip ring carries 24V + digital, ~4 conductors not 16+.</t>
  </si>
  <si>
    <t xml:space="preserve">Wk10 gate</t>
  </si>
  <si>
    <t xml:space="preserve">R11</t>
  </si>
  <si>
    <t xml:space="preserve">Build remaining 3 plates; per-plate calibration</t>
  </si>
  <si>
    <t xml:space="preserve">All four calibrated and characterised. Replaceable impact faces fitted (REQ-M14).</t>
  </si>
  <si>
    <t xml:space="preserve">Electronics</t>
  </si>
  <si>
    <t xml:space="preserve">Boot self-test: 16 channels, motor, encoder, referee (REQ-E6)</t>
  </si>
  <si>
    <t xml:space="preserve">Power-up health check. This is what makes the machine trustworthy.</t>
  </si>
  <si>
    <t xml:space="preserve">Plates</t>
  </si>
  <si>
    <t xml:space="preserve">Web UI: Live + Health screens</t>
  </si>
  <si>
    <t xml:space="preserve">Spin rate, speed control, live impacts on 4 plate outlines, green/red health per item.</t>
  </si>
  <si>
    <t xml:space="preserve">Self-test</t>
  </si>
  <si>
    <t xml:space="preserve">Web UI: Session + History + CSV export</t>
  </si>
  <si>
    <t xml:space="preserve">Hit distribution, group centre and spread, session comparison.</t>
  </si>
  <si>
    <t xml:space="preserve">UI core</t>
  </si>
  <si>
    <t xml:space="preserve">Referee cross-check in the workshop (REQ-E7)</t>
  </si>
  <si>
    <t xml:space="preserve">Custom plate hit count vs. referee count. Agreement validates both.</t>
  </si>
  <si>
    <t xml:space="preserve">UI</t>
  </si>
  <si>
    <t xml:space="preserve">R12</t>
  </si>
  <si>
    <t xml:space="preserve">Phase 3 acceptance: 25mm RMS all plates, UI usable unaided</t>
  </si>
  <si>
    <t xml:space="preserve">A teammate uses the UI without explanation.</t>
  </si>
  <si>
    <t xml:space="preserve">All P3</t>
  </si>
  <si>
    <t xml:space="preserve">4 Travel kit</t>
  </si>
  <si>
    <t xml:space="preserve">Travel stand concept + packing study</t>
  </si>
  <si>
    <t xml:space="preserve">Stand design against the FROZEN head geometry. Longest irreducible part identified.</t>
  </si>
  <si>
    <t xml:space="preserve">Head final</t>
  </si>
  <si>
    <t xml:space="preserve">R6</t>
  </si>
  <si>
    <t xml:space="preserve">Choose case shape from the largest irreducible part (S7.1)</t>
  </si>
  <si>
    <t xml:space="preserve">Case proportions selected AFTER the part list, not before. Least wasted volume.</t>
  </si>
  <si>
    <t xml:space="preserve">Packing study</t>
  </si>
  <si>
    <t xml:space="preserve">Build travel stand: tool-free, packs flat, on-site ballast (REQ-M9)</t>
  </si>
  <si>
    <t xml:space="preserve">Assembles without tools. Stable at 3 rev/s on a smooth floor.</t>
  </si>
  <si>
    <t xml:space="preserve">Concept</t>
  </si>
  <si>
    <t xml:space="preserve">Custom case + cut foam, pocket per part (REQ-M14, M15)</t>
  </si>
  <si>
    <t xml:space="preserve">Empty pocket = visible missing part. Assembly order printed inside the lid.</t>
  </si>
  <si>
    <t xml:space="preserve">Stand</t>
  </si>
  <si>
    <t xml:space="preserve">R8</t>
  </si>
  <si>
    <t xml:space="preserve">WEEK 20-21 PACKING TEST - under 23kg and 158cm?</t>
  </si>
  <si>
    <t xml:space="preserve">If not, decide deliberately: oversize fee, freight, or workshop-only. Not at the check-in desk.</t>
  </si>
  <si>
    <t xml:space="preserve">Case</t>
  </si>
  <si>
    <t xml:space="preserve">Drop test representative of baggage handling (REQ-M16)</t>
  </si>
  <si>
    <t xml:space="preserve">Head and plates survive. Failures found at home, not in China.</t>
  </si>
  <si>
    <t xml:space="preserve">Spares kit defined and packed inside the case (REQ-M17)</t>
  </si>
  <si>
    <t xml:space="preserve">Piezo modules, spare plate face, latches, fasteners. Fixed part of the packout.</t>
  </si>
  <si>
    <t xml:space="preserve">Drop test</t>
  </si>
  <si>
    <t xml:space="preserve">TIMED DRY RUN: teammate assembles from case, unaided (M7)</t>
  </si>
  <si>
    <t xml:space="preserve">Under 10 minutes, first attempt, no instructions from you. Tests the design, not your memory.</t>
  </si>
  <si>
    <t xml:space="preserve">Spares</t>
  </si>
  <si>
    <t xml:space="preserve">Fix everything the dry run exposed</t>
  </si>
  <si>
    <t xml:space="preserve">Second timed run passes.</t>
  </si>
  <si>
    <t xml:space="preserve">Dry run</t>
  </si>
  <si>
    <t xml:space="preserve">Travel documentation: packout card, customs list, setup card</t>
  </si>
  <si>
    <t xml:space="preserve">One page. Lives in the case.</t>
  </si>
  <si>
    <t xml:space="preserve">Fixes</t>
  </si>
  <si>
    <t xml:space="preserve">TOTAL EFFORT (solo-days)</t>
  </si>
  <si>
    <t xml:space="preserve">Available (26 wks x 2.5 days/wk, in-season)</t>
  </si>
  <si>
    <t xml:space="preserve">Headroom (negative = overcommitted)</t>
  </si>
  <si>
    <t xml:space="preserve">Phase 1 alone is ~22 days and delivers the training tool that removes the robot dependency. Every later phase is independently useful.</t>
  </si>
  <si>
    <t xml:space="preserve">If headroom is negative, the intended sacrifice order is: Phase 4 polish, then Phase 3 UI depth, then the rail. Phase 1 is never sacrificed.</t>
  </si>
  <si>
    <t xml:space="preserve">Dashboard</t>
  </si>
  <si>
    <t xml:space="preserve">Formulas over the other tabs - updates as you edit Status.</t>
  </si>
  <si>
    <t xml:space="preserve">PROGRESS</t>
  </si>
  <si>
    <t xml:space="preserve">Total work items</t>
  </si>
  <si>
    <t xml:space="preserve">Done</t>
  </si>
  <si>
    <t xml:space="preserve">In progress</t>
  </si>
  <si>
    <t xml:space="preserve">Blocked</t>
  </si>
  <si>
    <t xml:space="preserve">% complete</t>
  </si>
  <si>
    <t xml:space="preserve">EFFORT BY PHASE (solo-days)</t>
  </si>
  <si>
    <t xml:space="preserve">Planned</t>
  </si>
  <si>
    <t xml:space="preserve">% done</t>
  </si>
  <si>
    <t xml:space="preserve">TOTAL</t>
  </si>
  <si>
    <t xml:space="preserve">TRANSPORT CHECK (live from the Weight Budget and Packing tabs)</t>
  </si>
  <si>
    <t xml:space="preserve">Projected packed weight (kg)</t>
  </si>
  <si>
    <t xml:space="preserve">Airline limit (kg)</t>
  </si>
  <si>
    <t xml:space="preserve">Weight margin (kg)</t>
  </si>
  <si>
    <t xml:space="preserve">Weight verdict</t>
  </si>
  <si>
    <t xml:space="preserve">Case linear sum (cm)</t>
  </si>
  <si>
    <t xml:space="preserve">Airline limit (cm)</t>
  </si>
  <si>
    <t xml:space="preserve">Size verdict</t>
  </si>
  <si>
    <t xml:space="preserve">GATES</t>
  </si>
  <si>
    <t xml:space="preserve">Gate</t>
  </si>
  <si>
    <t xml:space="preserve">Week</t>
  </si>
  <si>
    <t xml:space="preserve">Test</t>
  </si>
  <si>
    <t xml:space="preserve">Action on failure</t>
  </si>
  <si>
    <t xml:space="preserve">Adoption</t>
  </si>
  <si>
    <t xml:space="preserve">Does a team member reach for it unprompted, and run it unaided?</t>
  </si>
  <si>
    <t xml:space="preserve">Understand why not before adding rail, sensors or a suitcase to it</t>
  </si>
  <si>
    <t xml:space="preserve">Plate gate</t>
  </si>
  <si>
    <t xml:space="preserve">Prototype plate RMS &lt;= 25 mm on held-out grid positions</t>
  </si>
  <si>
    <t xml:space="preserve">Do not build four. Ship with stock plates + referee counting</t>
  </si>
  <si>
    <t xml:space="preserve">Packing test</t>
  </si>
  <si>
    <t xml:space="preserve">20-21</t>
  </si>
  <si>
    <t xml:space="preserve">Full dry-run packout under 23 kg and 158 cm linear</t>
  </si>
  <si>
    <t xml:space="preserve">Decide deliberately: oversize fee, freight, or workshop-only</t>
  </si>
  <si>
    <t xml:space="preserve">Teammate assembles from case, unaided, under 10 min</t>
  </si>
  <si>
    <t xml:space="preserve">The design is ambiguous. Fix keying and labelling, re-run</t>
  </si>
  <si>
    <t xml:space="preserve">Reliability tripwire</t>
  </si>
  <si>
    <t xml:space="preserve">any</t>
  </si>
  <si>
    <t xml:space="preserve">Two consecutive sessions needing tools to get running</t>
  </si>
  <si>
    <t xml:space="preserve">Stop adding features. Everything here is downstream of it working</t>
  </si>
  <si>
    <t xml:space="preserve">Weight Budget - the constraint that is discovered at the check-in desk</t>
  </si>
  <si>
    <t xml:space="preserve">Blue = your input. Replace each estimate with an ACTUAL as parts get built and weighed. Size fails visibly; weight fails invisibly.</t>
  </si>
  <si>
    <t xml:space="preserve">Subsystem</t>
  </si>
  <si>
    <t xml:space="preserve">Item detail</t>
  </si>
  <si>
    <t xml:space="preserve">Est. (kg)</t>
  </si>
  <si>
    <t xml:space="preserve">Actual (kg)</t>
  </si>
  <si>
    <t xml:space="preserve">Using (kg)</t>
  </si>
  <si>
    <t xml:space="preserve">Flies?</t>
  </si>
  <si>
    <t xml:space="preserve">Note</t>
  </si>
  <si>
    <t xml:space="preserve">Motor</t>
  </si>
  <si>
    <t xml:space="preserve">GM6020 - 468 g confirmed from manufacturer user guide</t>
  </si>
  <si>
    <t xml:space="preserve">Yes</t>
  </si>
  <si>
    <t xml:space="preserve">Head structure</t>
  </si>
  <si>
    <t xml:space="preserve">Hub, 4 arms, plate carriers, balance masses</t>
  </si>
  <si>
    <t xml:space="preserve">Armor plates</t>
  </si>
  <si>
    <t xml:space="preserve">4 x custom small-format plates with sensors bonded</t>
  </si>
  <si>
    <t xml:space="preserve">Rotating electronics</t>
  </si>
  <si>
    <t xml:space="preserve">Head MCU, front end, slip ring, wiring</t>
  </si>
  <si>
    <t xml:space="preserve">Base electronics</t>
  </si>
  <si>
    <t xml:space="preserve">Controller, universal-input 24V PSU, enclosure, E-stop</t>
  </si>
  <si>
    <t xml:space="preserve">Travel stand</t>
  </si>
  <si>
    <t xml:space="preserve">Legs, column, feet, latches - LARGEST UNCERTAINTY</t>
  </si>
  <si>
    <t xml:space="preserve">Spares kit</t>
  </si>
  <si>
    <t xml:space="preserve">Piezo modules, spare plate face, latches, fasteners</t>
  </si>
  <si>
    <t xml:space="preserve">Case + foam</t>
  </si>
  <si>
    <t xml:space="preserve">Shell, cut foam, corner protection - heavier than expected</t>
  </si>
  <si>
    <t xml:space="preserve">Cables + PSU lead</t>
  </si>
  <si>
    <t xml:space="preserve">Mains lead, DC leads, spare connectors</t>
  </si>
  <si>
    <t xml:space="preserve">Workshop base</t>
  </si>
  <si>
    <t xml:space="preserve">Ballasted steel pedestal - stays in Singapore</t>
  </si>
  <si>
    <t xml:space="preserve">No</t>
  </si>
  <si>
    <t xml:space="preserve">Rail assembly</t>
  </si>
  <si>
    <t xml:space="preserve">Extrusion, carriage, belt, motor - stays in Singapore</t>
  </si>
  <si>
    <t xml:space="preserve">SUBTOTAL - items that fly</t>
  </si>
  <si>
    <t xml:space="preserve">Contingency (% - appropriate before any part exists)</t>
  </si>
  <si>
    <t xml:space="preserve">PROJECTED PACKED WEIGHT</t>
  </si>
  <si>
    <t xml:space="preserve">Internal target (kg) - margin for a heavier case than planned</t>
  </si>
  <si>
    <t xml:space="preserve">MARGIN vs. airline limit (kg)</t>
  </si>
  <si>
    <t xml:space="preserve">VERDICT</t>
  </si>
  <si>
    <t xml:space="preserve">The stand and the case are ~44% of flying mass and are the two least-defined items. Build and weigh both EARLY in Phase 4, not at the end.</t>
  </si>
  <si>
    <t xml:space="preserve">Source: GM6020 mass from the RoboMaster GM6020 Brushless DC Motor User Guide. Every other figure is an estimate until an Actual is entered.</t>
  </si>
  <si>
    <t xml:space="preserve">Case Sizing + Packing Manifest</t>
  </si>
  <si>
    <t xml:space="preserve">158 cm is a SUM of the three dimensions, not a length. Case shape is a free design variable - choose it AFTER the largest irreducible part is known.</t>
  </si>
  <si>
    <t xml:space="preserve">CASE DIMENSIONS (external, cm)</t>
  </si>
  <si>
    <t xml:space="preserve">Blue = your input. Set these once the part list is final.</t>
  </si>
  <si>
    <t xml:space="preserve">Length</t>
  </si>
  <si>
    <t xml:space="preserve">Width</t>
  </si>
  <si>
    <t xml:space="preserve">Height</t>
  </si>
  <si>
    <t xml:space="preserve">LINEAR SUM (L+W+H)</t>
  </si>
  <si>
    <t xml:space="preserve">Airline limit</t>
  </si>
  <si>
    <t xml:space="preserve">Margin (cm)</t>
  </si>
  <si>
    <t xml:space="preserve">Longest internal member (cm, approx.)</t>
  </si>
  <si>
    <t xml:space="preserve">Internal diagonal (cm)</t>
  </si>
  <si>
    <t xml:space="preserve">CASE SHAPE OPTIONS - all sum to ~158 cm</t>
  </si>
  <si>
    <t xml:space="preserve">Shape (L x W x H, cm)</t>
  </si>
  <si>
    <t xml:space="preserve">Sum</t>
  </si>
  <si>
    <t xml:space="preserve">Longest member</t>
  </si>
  <si>
    <t xml:space="preserve">Comment</t>
  </si>
  <si>
    <t xml:space="preserve">70 x 48 x 40</t>
  </si>
  <si>
    <t xml:space="preserve">~66 cm</t>
  </si>
  <si>
    <t xml:space="preserve">Conventional suitcase proportions. Easy to handle, poor length.</t>
  </si>
  <si>
    <t xml:space="preserve">85 x 45 x 28</t>
  </si>
  <si>
    <t xml:space="preserve">~81 cm</t>
  </si>
  <si>
    <t xml:space="preserve">Balanced. Current working assumption above.</t>
  </si>
  <si>
    <t xml:space="preserve">105 x 32 x 20</t>
  </si>
  <si>
    <t xml:space="preserve">~101 cm</t>
  </si>
  <si>
    <t xml:space="preserve">Ski/golf-case proportions. Best length, awkward, more bending risk.</t>
  </si>
  <si>
    <t xml:space="preserve">120 x 24 x 14</t>
  </si>
  <si>
    <t xml:space="preserve">~116 cm</t>
  </si>
  <si>
    <t xml:space="preserve">Extreme. Fragile as a case, hard to protect. Not recommended.</t>
  </si>
  <si>
    <t xml:space="preserve">PACKING MANIFEST - one row per part. An empty foam pocket is a visible missing part.</t>
  </si>
  <si>
    <t xml:space="preserve">Part</t>
  </si>
  <si>
    <t xml:space="preserve">Qty</t>
  </si>
  <si>
    <t xml:space="preserve">Longest dim (cm)</t>
  </si>
  <si>
    <t xml:space="preserve">Mass each (kg)</t>
  </si>
  <si>
    <t xml:space="preserve">Total (kg)</t>
  </si>
  <si>
    <t xml:space="preserve">Foam pocket #</t>
  </si>
  <si>
    <t xml:space="preserve">Packed?</t>
  </si>
  <si>
    <t xml:space="preserve">Head hub with motor</t>
  </si>
  <si>
    <t xml:space="preserve">P1</t>
  </si>
  <si>
    <t xml:space="preserve">Head arm + plate carrier</t>
  </si>
  <si>
    <t xml:space="preserve">P2-P5</t>
  </si>
  <si>
    <t xml:space="preserve">Armor plate assembly</t>
  </si>
  <si>
    <t xml:space="preserve">P6-P9</t>
  </si>
  <si>
    <t xml:space="preserve">Stand column section</t>
  </si>
  <si>
    <t xml:space="preserve">P10-P11</t>
  </si>
  <si>
    <t xml:space="preserve">Stand leg</t>
  </si>
  <si>
    <t xml:space="preserve">P12-P14</t>
  </si>
  <si>
    <t xml:space="preserve">Stand foot / ballast pocket</t>
  </si>
  <si>
    <t xml:space="preserve">P15-P17</t>
  </si>
  <si>
    <t xml:space="preserve">Electronics enclosure</t>
  </si>
  <si>
    <t xml:space="preserve">P18</t>
  </si>
  <si>
    <t xml:space="preserve">PSU + mains lead</t>
  </si>
  <si>
    <t xml:space="preserve">P19</t>
  </si>
  <si>
    <t xml:space="preserve">Cable set</t>
  </si>
  <si>
    <t xml:space="preserve">P20</t>
  </si>
  <si>
    <t xml:space="preserve">Spares kit box</t>
  </si>
  <si>
    <t xml:space="preserve">P21</t>
  </si>
  <si>
    <t xml:space="preserve">Setup card + customs list</t>
  </si>
  <si>
    <t xml:space="preserve">lid</t>
  </si>
  <si>
    <t xml:space="preserve">CONTENTS TOTAL (kg)</t>
  </si>
  <si>
    <t xml:space="preserve">Longest part (cm)</t>
  </si>
  <si>
    <t xml:space="preserve">Fits the case?</t>
  </si>
  <si>
    <t xml:space="preserve">Items packed</t>
  </si>
  <si>
    <t xml:space="preserve">Part dimensions and masses are placeholders until real parts exist. Update them as you build - this tab is the single source of truth for the Dashboard transport check.</t>
  </si>
  <si>
    <t xml:space="preserve">Bill of Materials</t>
  </si>
  <si>
    <t xml:space="preserve">Blue = your input. Phase column lets you stage funding: Phases 1-2 deliver the training tool, Phases 3-4 add measurement and portability.</t>
  </si>
  <si>
    <t xml:space="preserve">Group</t>
  </si>
  <si>
    <t xml:space="preserve">Item</t>
  </si>
  <si>
    <t xml:space="preserve">Unit $</t>
  </si>
  <si>
    <t xml:space="preserve">Line $</t>
  </si>
  <si>
    <t xml:space="preserve">Own?</t>
  </si>
  <si>
    <t xml:space="preserve">GM6020 gimbal motor (468 g, 1.2 Nm, 18 mm hollow shaft)</t>
  </si>
  <si>
    <t xml:space="preserve">Likely</t>
  </si>
  <si>
    <t xml:space="preserve">Hub + arm stock, plate carriers, balance masses</t>
  </si>
  <si>
    <t xml:space="preserve">Hardware: captive fasteners, latches, bearings</t>
  </si>
  <si>
    <t xml:space="preserve">Steel plate, ballast, mounting hardware</t>
  </si>
  <si>
    <t xml:space="preserve">Partly</t>
  </si>
  <si>
    <t xml:space="preserve">Rail</t>
  </si>
  <si>
    <t xml:space="preserve">Aluminium extrusion, 2.5-3 m</t>
  </si>
  <si>
    <t xml:space="preserve">V-wheel carriage, GT belt, pulleys, idlers</t>
  </si>
  <si>
    <t xml:space="preserve">Drive motor + limit switches</t>
  </si>
  <si>
    <t xml:space="preserve">Maybe</t>
  </si>
  <si>
    <t xml:space="preserve">4 x plate substrate + replaceable impact faces</t>
  </si>
  <si>
    <t xml:space="preserve">Piezo elements</t>
  </si>
  <si>
    <t xml:space="preserve">Analogue front end: comparators, op-amps, PCB</t>
  </si>
  <si>
    <t xml:space="preserve">Rotating elec.</t>
  </si>
  <si>
    <t xml:space="preserve">Head MCU board</t>
  </si>
  <si>
    <t xml:space="preserve">Slip ring capsule, hollow-shaft compatible</t>
  </si>
  <si>
    <t xml:space="preserve">Connectors, wiring, strain relief</t>
  </si>
  <si>
    <t xml:space="preserve">Base elec.</t>
  </si>
  <si>
    <t xml:space="preserve">Base controller board</t>
  </si>
  <si>
    <t xml:space="preserve">Universal-input 24 V PSU (100-240 V)</t>
  </si>
  <si>
    <t xml:space="preserve">Enclosure, hardware E-stop, wiring</t>
  </si>
  <si>
    <t xml:space="preserve">Extrusion or tube stock, feet, ballast pockets</t>
  </si>
  <si>
    <t xml:space="preserve">Draw latches, cam locks, captive hardware</t>
  </si>
  <si>
    <t xml:space="preserve">Case shell</t>
  </si>
  <si>
    <t xml:space="preserve">Custom-cut foam, corner protection</t>
  </si>
  <si>
    <t xml:space="preserve">SUBTOTAL (all phases)</t>
  </si>
  <si>
    <t xml:space="preserve">Less items likely already owned</t>
  </si>
  <si>
    <t xml:space="preserve">LIKELY SPEND</t>
  </si>
  <si>
    <t xml:space="preserve">Phase 1 (workshop target)</t>
  </si>
  <si>
    <t xml:space="preserve">Phase 2 (rail)</t>
  </si>
  <si>
    <t xml:space="preserve">Phase 3 (plates + electronics)</t>
  </si>
  <si>
    <t xml:space="preserve">Phase 4 (travel kit)</t>
  </si>
  <si>
    <t xml:space="preserve">Phases 1-2 only (the training tool)</t>
  </si>
  <si>
    <t xml:space="preserve">Phases 3-4 (measurement + portability)</t>
  </si>
  <si>
    <t xml:space="preserve">Staging option: fund Phases 1-2 now ($550, the training tool), decide Phases 3-4 at the Week 8 review - which also defers plate spend past the Week 10 gate.</t>
  </si>
  <si>
    <t xml:space="preserve">Risk Register</t>
  </si>
  <si>
    <t xml:space="preserve">Score = Impact x Likelihood (1-5 each). Blue = your scoring inputs. Review at every gate.</t>
  </si>
  <si>
    <t xml:space="preserve">ID</t>
  </si>
  <si>
    <t xml:space="preserve">Imp</t>
  </si>
  <si>
    <t xml:space="preserve">Lik</t>
  </si>
  <si>
    <t xml:space="preserve">Score</t>
  </si>
  <si>
    <t xml:space="preserve">Severity</t>
  </si>
  <si>
    <t xml:space="preserve">Mitigation</t>
  </si>
  <si>
    <t xml:space="preserve">Review at</t>
  </si>
  <si>
    <t xml:space="preserve">Slotted joints loosen under vibration and repeated impact</t>
  </si>
  <si>
    <t xml:space="preserve">REQ-M9: separate locating from clamping in every joint. Endurance run and full joint re-check in Phase 1, not Phase 4.</t>
  </si>
  <si>
    <t xml:space="preserve">Wk 5</t>
  </si>
  <si>
    <t xml:space="preserve">R2</t>
  </si>
  <si>
    <t xml:space="preserve">Only the builder can operate or fix it</t>
  </si>
  <si>
    <t xml:space="preserve">M2 makes this a tested requirement, not an aspiration. Keying, labelling, self-test and a setup card in the case. A teammate runs Phase 1 acceptance.</t>
  </si>
  <si>
    <t xml:space="preserve">Wk 6</t>
  </si>
  <si>
    <t xml:space="preserve">Weight creep pushes the packed kit past 23 kg</t>
  </si>
  <si>
    <t xml:space="preserve">Weigh every part as it is made. Stand and case are 44% of flying mass and least defined - build and weigh them EARLY in Phase 4.</t>
  </si>
  <si>
    <t xml:space="preserve">Wk 20</t>
  </si>
  <si>
    <t xml:space="preserve">Piezo bonds fatigue and silently corrupt localisation</t>
  </si>
  <si>
    <t xml:space="preserve">REQ-E6 per-channel drift detection; field-replaceable modules; boot self-test on the Health screen.</t>
  </si>
  <si>
    <t xml:space="preserve">Wk 10</t>
  </si>
  <si>
    <t xml:space="preserve">Solo builder, in-season workload, project stalls part-built</t>
  </si>
  <si>
    <t xml:space="preserve">Phase 1 delivers standalone value in 6 weeks; every later phase is independently useful. Stopping at any phase is acceptable.</t>
  </si>
  <si>
    <t xml:space="preserve">Travel stand cannot be both packable and stable enough</t>
  </si>
  <si>
    <t xml:space="preserve">Contained by the architecture - workshop use is unaffected. Ballast filled on site rather than chasing stiffness in the suitcase.</t>
  </si>
  <si>
    <t xml:space="preserve">Wk 18</t>
  </si>
  <si>
    <t xml:space="preserve">R7</t>
  </si>
  <si>
    <t xml:space="preserve">No usable mains power at the competition venue</t>
  </si>
  <si>
    <t xml:space="preserve">Dual DC input accepting a borrowed RM pack. No battery can be flown regardless. Confirm venue power (Q3).</t>
  </si>
  <si>
    <t xml:space="preserve">Wk 8</t>
  </si>
  <si>
    <t xml:space="preserve">Case fails baggage handling; parts arrive damaged</t>
  </si>
  <si>
    <t xml:space="preserve">Drop test before travelling. Spares kit inside the case. Irreplaceable electronics in hand luggage.</t>
  </si>
  <si>
    <t xml:space="preserve">Wk 22</t>
  </si>
  <si>
    <t xml:space="preserve">GM6020 torque marginal once the head is fully built</t>
  </si>
  <si>
    <t xml:space="preserve">Budget head inertia before building. Keep plate radius small - inertia scales with r^2, the cheapest lever available.</t>
  </si>
  <si>
    <t xml:space="preserve">Wk 4</t>
  </si>
  <si>
    <t xml:space="preserve">Injury from the spinning head or projectiles</t>
  </si>
  <si>
    <t xml:space="preserve">Hardware E-stop cutting motor power directly. Balance verification before first full-speed run. Captive fasteners. Eye protection.</t>
  </si>
  <si>
    <t xml:space="preserve">Slip ring wears or becomes intermittent</t>
  </si>
  <si>
    <t xml:space="preserve">REQ-E1 keeps only power and digital across the interface. REQ-E3 keeps a wireless data path open as a fallback.</t>
  </si>
  <si>
    <t xml:space="preserve">Wk 11</t>
  </si>
  <si>
    <t xml:space="preserve">Referee gear unusable on a non-robot fixture at a venue</t>
  </si>
  <si>
    <t xml:space="preserve">Custom plates work standalone, so referee is a workshop cross-check not a dependency. Confirm the rules position (Q4).</t>
  </si>
  <si>
    <t xml:space="preserve">Highest score:</t>
  </si>
  <si>
    <t xml:space="preserve">Thresholds: Critical &gt;=15, High &gt;=9, Medium &gt;=4, Low &lt;4.</t>
  </si>
  <si>
    <t xml:space="preserve">Success Metrics</t>
  </si>
  <si>
    <t xml:space="preserve">Blue = fill in as measurements land.</t>
  </si>
  <si>
    <t xml:space="preserve">Metric</t>
  </si>
  <si>
    <t xml:space="preserve">Target</t>
  </si>
  <si>
    <t xml:space="preserve">Actual</t>
  </si>
  <si>
    <t xml:space="preserve">Due</t>
  </si>
  <si>
    <t xml:space="preserve">Why it is the right measure</t>
  </si>
  <si>
    <t xml:space="preserve">M1</t>
  </si>
  <si>
    <t xml:space="preserve">Setup time, case to first shot</t>
  </si>
  <si>
    <t xml:space="preserve">&lt;= 10 min, one person, no tools</t>
  </si>
  <si>
    <t xml:space="preserve">Wk 24</t>
  </si>
  <si>
    <t xml:space="preserve">Pending</t>
  </si>
  <si>
    <t xml:space="preserve">Decides whether it actually gets used</t>
  </si>
  <si>
    <t xml:space="preserve">M2</t>
  </si>
  <si>
    <t xml:space="preserve">Use by someone who did not build it</t>
  </si>
  <si>
    <t xml:space="preserve">Team member runs a full session unaided, first attempt</t>
  </si>
  <si>
    <t xml:space="preserve">The primary user test. Tests the design, not the builder's memory</t>
  </si>
  <si>
    <t xml:space="preserve">M3</t>
  </si>
  <si>
    <t xml:space="preserve">Sessions between tool-requiring failures</t>
  </si>
  <si>
    <t xml:space="preserve">&gt;= 20</t>
  </si>
  <si>
    <t xml:space="preserve">ongoing</t>
  </si>
  <si>
    <t xml:space="preserve">Encodes 'switch it on and start using it'</t>
  </si>
  <si>
    <t xml:space="preserve">M4</t>
  </si>
  <si>
    <t xml:space="preserve">Packed size</t>
  </si>
  <si>
    <t xml:space="preserve">&lt;= 158 cm linear, case included</t>
  </si>
  <si>
    <t xml:space="preserve">Wk 21</t>
  </si>
  <si>
    <t xml:space="preserve">Binary pass/fail at the check-in desk</t>
  </si>
  <si>
    <t xml:space="preserve">M5</t>
  </si>
  <si>
    <t xml:space="preserve">Packed weight</t>
  </si>
  <si>
    <t xml:space="preserve">&lt;= 23 kg, target &lt;= 20 kg</t>
  </si>
  <si>
    <t xml:space="preserve">3 kg margin absorbs spares and a heavier case</t>
  </si>
  <si>
    <t xml:space="preserve">M6</t>
  </si>
  <si>
    <t xml:space="preserve">Spin speed consistency</t>
  </si>
  <si>
    <t xml:space="preserve">&lt;= 2% from commanded, 0.25-3.0 rev/s</t>
  </si>
  <si>
    <t xml:space="preserve">Two sessions a week apart must be comparable</t>
  </si>
  <si>
    <t xml:space="preserve">M7</t>
  </si>
  <si>
    <t xml:space="preserve">Hit localisation accuracy</t>
  </si>
  <si>
    <t xml:space="preserve">&lt;= 25 mm RMS, &gt;= 95% quadrant</t>
  </si>
  <si>
    <t xml:space="preserve">Wk 17</t>
  </si>
  <si>
    <t xml:space="preserve">Honest limit for piezo TDOA on a small plate</t>
  </si>
  <si>
    <t xml:space="preserve">M8</t>
  </si>
  <si>
    <t xml:space="preserve">&gt;= 8 team sessions in the first month, by &gt;= 2 different people</t>
  </si>
  <si>
    <t xml:space="preserve">A tool one person uses is a rig; a tool the team uses is equipment</t>
  </si>
  <si>
    <t xml:space="preserve">M2 and M8 are the pair that matter. Every other metric can be satisfied by a machine only its builder can operate.</t>
  </si>
  <si>
    <t xml:space="preserve">Open Questions</t>
  </si>
  <si>
    <t xml:space="preserve">Q1 and Q7 gate Week 1-2. Q1 can reorder the whole back half of the plan.</t>
  </si>
  <si>
    <t xml:space="preserve">Question</t>
  </si>
  <si>
    <t xml:space="preserve">Blocks</t>
  </si>
  <si>
    <t xml:space="preserve">Needed by</t>
  </si>
  <si>
    <t xml:space="preserve">Answer</t>
  </si>
  <si>
    <t xml:space="preserve">Q1</t>
  </si>
  <si>
    <t xml:space="preserve">Which competition and date is the travel deadline? RMUL 2026 mainland sites ran Mar-May 2026, so this plan assumes the 2027 cycle (~Mar 2027). If the real date is earlier, Phase 4 must move ahead of Phase 3.</t>
  </si>
  <si>
    <t xml:space="preserve">All Phase 4 scheduling</t>
  </si>
  <si>
    <t xml:space="preserve">Wk 2</t>
  </si>
  <si>
    <t xml:space="preserve">Open</t>
  </si>
  <si>
    <t xml:space="preserve">Q7</t>
  </si>
  <si>
    <t xml:space="preserve">Do you have 3D printing and machining access, or is everything cut by hand?</t>
  </si>
  <si>
    <t xml:space="preserve">Realistic effort for every mechanical part</t>
  </si>
  <si>
    <t xml:space="preserve">Wk 1</t>
  </si>
  <si>
    <t xml:space="preserve">Q6</t>
  </si>
  <si>
    <t xml:space="preserve">What plate height above the floor matches the robots you most need to practise against?</t>
  </si>
  <si>
    <t xml:space="preserve">Stand height, therefore packed length</t>
  </si>
  <si>
    <t xml:space="preserve">Wk 3</t>
  </si>
  <si>
    <t xml:space="preserve">Q2</t>
  </si>
  <si>
    <t xml:space="preserve">Is the ~$830 budget approvable, or should it be staged at the Week 8 review?</t>
  </si>
  <si>
    <t xml:space="preserve">Phase 3 and 4 procurement</t>
  </si>
  <si>
    <t xml:space="preserve">Q5</t>
  </si>
  <si>
    <t xml:space="preserve">How long is the workshop rail, and what mounting does the space allow?</t>
  </si>
  <si>
    <t xml:space="preserve">Phase 2 rail design</t>
  </si>
  <si>
    <t xml:space="preserve">Q3</t>
  </si>
  <si>
    <t xml:space="preserve">Is mains power available near a usable test area in a competition pit?</t>
  </si>
  <si>
    <t xml:space="preserve">Power architecture and on-site fallback</t>
  </si>
  <si>
    <t xml:space="preserve">Q4</t>
  </si>
  <si>
    <t xml:space="preserve">Can referee gear be used on a non-robot fixture at a venue, and is a spare set available?</t>
  </si>
  <si>
    <t xml:space="preserve">Whether referee cross-check extends beyond the workshop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</si>
</sst>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"/>
    <numFmt numFmtId="166" formatCode="0%"/>
    <numFmt numFmtId="167" formatCode="0.0"/>
    <numFmt numFmtId="168" formatCode="0"/>
    <numFmt numFmtId="169" formatCode="@"/>
    <numFmt numFmtId="170" formatCode="0.00"/>
    <numFmt numFmtId="171" formatCode="\$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A5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9C0006"/>
      <name val="Arial"/>
      <family val="0"/>
      <charset val="1"/>
    </font>
    <font>
      <b val="true"/>
      <sz val="11"/>
      <color rgb="FF1A3A5C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F2F6F9"/>
        <bgColor rgb="FFFFFFFF"/>
      </patternFill>
    </fill>
    <fill>
      <patternFill patternType="solid">
        <fgColor rgb="FFFCE4D6"/>
        <bgColor rgb="FFFFD9CC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6D2"/>
      </left>
      <right style="thin">
        <color rgb="FFB8C6D2"/>
      </right>
      <top style="thin">
        <color rgb="FFB8C6D2"/>
      </top>
      <bottom style="thin">
        <color rgb="FFB8C6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1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1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C55A11"/>
        <sz val="10"/>
      </font>
      <fill>
        <patternFill>
          <bgColor rgb="FFFFD9CC"/>
        </patternFill>
      </fill>
    </dxf>
    <dxf>
      <font>
        <name val="Arial"/>
        <charset val="1"/>
        <family val="0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8C6D2"/>
      <rgbColor rgb="FF808080"/>
      <rgbColor rgb="FF9999FF"/>
      <rgbColor rgb="FF993366"/>
      <rgbColor rgb="FFFFFFCC"/>
      <rgbColor rgb="FFF2F6F9"/>
      <rgbColor rgb="FF660066"/>
      <rgbColor rgb="FFFF8080"/>
      <rgbColor rgb="FF0066CC"/>
      <rgbColor rgb="FFFFD9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666666"/>
      <rgbColor rgb="FF969696"/>
      <rgbColor rgb="FF1A3A5C"/>
      <rgbColor rgb="FF339966"/>
      <rgbColor rgb="FF003300"/>
      <rgbColor rgb="FF333300"/>
      <rgbColor rgb="FF843C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42"/>
    <col collapsed="false" customWidth="true" hidden="false" outlineLevel="0" max="5" min="5" style="0" width="52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13"/>
    <col collapsed="false" customWidth="true" hidden="false" outlineLevel="0" max="9" min="9" style="0" width="8"/>
  </cols>
  <sheetData>
    <row r="1" customFormat="false" ht="19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n">
        <v>1</v>
      </c>
      <c r="B5" s="5" t="n">
        <v>46237</v>
      </c>
      <c r="C5" s="6" t="s">
        <v>11</v>
      </c>
      <c r="D5" s="6" t="s">
        <v>12</v>
      </c>
      <c r="E5" s="6" t="s">
        <v>13</v>
      </c>
      <c r="F5" s="6" t="s">
        <v>14</v>
      </c>
      <c r="G5" s="7" t="n">
        <v>2</v>
      </c>
      <c r="H5" s="7" t="s">
        <v>15</v>
      </c>
      <c r="I5" s="7" t="s">
        <v>14</v>
      </c>
    </row>
    <row r="6" customFormat="false" ht="23.85" hidden="false" customHeight="false" outlineLevel="0" collapsed="false">
      <c r="A6" s="8" t="n">
        <v>1</v>
      </c>
      <c r="B6" s="9" t="n">
        <v>46237</v>
      </c>
      <c r="C6" s="10" t="s">
        <v>11</v>
      </c>
      <c r="D6" s="10" t="s">
        <v>16</v>
      </c>
      <c r="E6" s="10" t="s">
        <v>17</v>
      </c>
      <c r="F6" s="10" t="s">
        <v>14</v>
      </c>
      <c r="G6" s="11" t="n">
        <v>1.5</v>
      </c>
      <c r="H6" s="11" t="s">
        <v>15</v>
      </c>
      <c r="I6" s="11" t="s">
        <v>18</v>
      </c>
    </row>
    <row r="7" customFormat="false" ht="23.85" hidden="false" customHeight="false" outlineLevel="0" collapsed="false">
      <c r="A7" s="4" t="n">
        <v>1</v>
      </c>
      <c r="B7" s="5" t="n">
        <v>46237</v>
      </c>
      <c r="C7" s="6" t="s">
        <v>11</v>
      </c>
      <c r="D7" s="6" t="s">
        <v>19</v>
      </c>
      <c r="E7" s="6" t="s">
        <v>20</v>
      </c>
      <c r="F7" s="6" t="s">
        <v>14</v>
      </c>
      <c r="G7" s="7" t="n">
        <v>0.5</v>
      </c>
      <c r="H7" s="7" t="s">
        <v>15</v>
      </c>
      <c r="I7" s="7" t="s">
        <v>14</v>
      </c>
    </row>
    <row r="8" customFormat="false" ht="23.85" hidden="false" customHeight="false" outlineLevel="0" collapsed="false">
      <c r="A8" s="8" t="n">
        <v>2</v>
      </c>
      <c r="B8" s="9" t="n">
        <v>46244</v>
      </c>
      <c r="C8" s="10" t="s">
        <v>11</v>
      </c>
      <c r="D8" s="10" t="s">
        <v>21</v>
      </c>
      <c r="E8" s="10" t="s">
        <v>22</v>
      </c>
      <c r="F8" s="10" t="s">
        <v>23</v>
      </c>
      <c r="G8" s="11" t="n">
        <v>4</v>
      </c>
      <c r="H8" s="11" t="s">
        <v>15</v>
      </c>
      <c r="I8" s="11" t="s">
        <v>24</v>
      </c>
    </row>
    <row r="9" customFormat="false" ht="23.85" hidden="false" customHeight="false" outlineLevel="0" collapsed="false">
      <c r="A9" s="4" t="n">
        <v>2</v>
      </c>
      <c r="B9" s="5" t="n">
        <v>46244</v>
      </c>
      <c r="C9" s="6" t="s">
        <v>11</v>
      </c>
      <c r="D9" s="6" t="s">
        <v>25</v>
      </c>
      <c r="E9" s="6" t="s">
        <v>26</v>
      </c>
      <c r="F9" s="6" t="s">
        <v>23</v>
      </c>
      <c r="G9" s="7" t="n">
        <v>1</v>
      </c>
      <c r="H9" s="7" t="s">
        <v>15</v>
      </c>
      <c r="I9" s="7" t="s">
        <v>14</v>
      </c>
    </row>
    <row r="10" customFormat="false" ht="23.85" hidden="false" customHeight="false" outlineLevel="0" collapsed="false">
      <c r="A10" s="8" t="n">
        <v>3</v>
      </c>
      <c r="B10" s="9" t="n">
        <v>46251</v>
      </c>
      <c r="C10" s="10" t="s">
        <v>11</v>
      </c>
      <c r="D10" s="10" t="s">
        <v>27</v>
      </c>
      <c r="E10" s="10" t="s">
        <v>28</v>
      </c>
      <c r="F10" s="10" t="s">
        <v>29</v>
      </c>
      <c r="G10" s="11" t="n">
        <v>4</v>
      </c>
      <c r="H10" s="11" t="s">
        <v>15</v>
      </c>
      <c r="I10" s="11" t="s">
        <v>14</v>
      </c>
    </row>
    <row r="11" customFormat="false" ht="23.85" hidden="false" customHeight="false" outlineLevel="0" collapsed="false">
      <c r="A11" s="4" t="n">
        <v>3</v>
      </c>
      <c r="B11" s="5" t="n">
        <v>46251</v>
      </c>
      <c r="C11" s="6" t="s">
        <v>11</v>
      </c>
      <c r="D11" s="6" t="s">
        <v>30</v>
      </c>
      <c r="E11" s="6" t="s">
        <v>31</v>
      </c>
      <c r="F11" s="6" t="s">
        <v>32</v>
      </c>
      <c r="G11" s="7" t="n">
        <v>2</v>
      </c>
      <c r="H11" s="7" t="s">
        <v>15</v>
      </c>
      <c r="I11" s="7" t="s">
        <v>33</v>
      </c>
    </row>
    <row r="12" customFormat="false" ht="23.85" hidden="false" customHeight="false" outlineLevel="0" collapsed="false">
      <c r="A12" s="8" t="n">
        <v>4</v>
      </c>
      <c r="B12" s="9" t="n">
        <v>46258</v>
      </c>
      <c r="C12" s="10" t="s">
        <v>11</v>
      </c>
      <c r="D12" s="10" t="s">
        <v>34</v>
      </c>
      <c r="E12" s="10" t="s">
        <v>35</v>
      </c>
      <c r="F12" s="10" t="s">
        <v>32</v>
      </c>
      <c r="G12" s="11" t="n">
        <v>3</v>
      </c>
      <c r="H12" s="11" t="s">
        <v>15</v>
      </c>
      <c r="I12" s="11" t="s">
        <v>24</v>
      </c>
    </row>
    <row r="13" customFormat="false" ht="23.85" hidden="false" customHeight="false" outlineLevel="0" collapsed="false">
      <c r="A13" s="4" t="n">
        <v>4</v>
      </c>
      <c r="B13" s="5" t="n">
        <v>46258</v>
      </c>
      <c r="C13" s="6" t="s">
        <v>11</v>
      </c>
      <c r="D13" s="6" t="s">
        <v>36</v>
      </c>
      <c r="E13" s="6" t="s">
        <v>37</v>
      </c>
      <c r="F13" s="6" t="s">
        <v>38</v>
      </c>
      <c r="G13" s="7" t="n">
        <v>1.5</v>
      </c>
      <c r="H13" s="7" t="s">
        <v>15</v>
      </c>
      <c r="I13" s="7" t="s">
        <v>39</v>
      </c>
    </row>
    <row r="14" customFormat="false" ht="23.85" hidden="false" customHeight="false" outlineLevel="0" collapsed="false">
      <c r="A14" s="8" t="n">
        <v>5</v>
      </c>
      <c r="B14" s="9" t="n">
        <v>46265</v>
      </c>
      <c r="C14" s="10" t="s">
        <v>11</v>
      </c>
      <c r="D14" s="10" t="s">
        <v>40</v>
      </c>
      <c r="E14" s="10" t="s">
        <v>41</v>
      </c>
      <c r="F14" s="10" t="s">
        <v>42</v>
      </c>
      <c r="G14" s="11" t="n">
        <v>1.5</v>
      </c>
      <c r="H14" s="11" t="s">
        <v>15</v>
      </c>
      <c r="I14" s="11" t="s">
        <v>33</v>
      </c>
    </row>
    <row r="15" customFormat="false" ht="15" hidden="false" customHeight="false" outlineLevel="0" collapsed="false">
      <c r="A15" s="4" t="n">
        <v>5</v>
      </c>
      <c r="B15" s="5" t="n">
        <v>46265</v>
      </c>
      <c r="C15" s="6" t="s">
        <v>11</v>
      </c>
      <c r="D15" s="6" t="s">
        <v>43</v>
      </c>
      <c r="E15" s="6" t="s">
        <v>44</v>
      </c>
      <c r="F15" s="6" t="s">
        <v>32</v>
      </c>
      <c r="G15" s="7" t="n">
        <v>0.5</v>
      </c>
      <c r="H15" s="7" t="s">
        <v>15</v>
      </c>
      <c r="I15" s="7" t="s">
        <v>18</v>
      </c>
    </row>
    <row r="16" customFormat="false" ht="23.85" hidden="false" customHeight="false" outlineLevel="0" collapsed="false">
      <c r="A16" s="8" t="n">
        <v>6</v>
      </c>
      <c r="B16" s="9" t="n">
        <v>46272</v>
      </c>
      <c r="C16" s="10" t="s">
        <v>11</v>
      </c>
      <c r="D16" s="10" t="s">
        <v>45</v>
      </c>
      <c r="E16" s="10" t="s">
        <v>46</v>
      </c>
      <c r="F16" s="10" t="s">
        <v>47</v>
      </c>
      <c r="G16" s="11" t="n">
        <v>1</v>
      </c>
      <c r="H16" s="11" t="s">
        <v>15</v>
      </c>
      <c r="I16" s="11" t="s">
        <v>48</v>
      </c>
    </row>
    <row r="17" customFormat="false" ht="23.85" hidden="false" customHeight="false" outlineLevel="0" collapsed="false">
      <c r="A17" s="12" t="n">
        <v>6</v>
      </c>
      <c r="B17" s="13" t="n">
        <v>46272</v>
      </c>
      <c r="C17" s="14" t="s">
        <v>49</v>
      </c>
      <c r="D17" s="14" t="s">
        <v>50</v>
      </c>
      <c r="E17" s="14" t="s">
        <v>51</v>
      </c>
      <c r="F17" s="14" t="s">
        <v>52</v>
      </c>
      <c r="G17" s="12" t="n">
        <v>0</v>
      </c>
      <c r="H17" s="12" t="s">
        <v>15</v>
      </c>
      <c r="I17" s="12" t="s">
        <v>48</v>
      </c>
    </row>
    <row r="18" customFormat="false" ht="23.85" hidden="false" customHeight="false" outlineLevel="0" collapsed="false">
      <c r="A18" s="8" t="n">
        <v>5</v>
      </c>
      <c r="B18" s="9" t="n">
        <v>46265</v>
      </c>
      <c r="C18" s="10" t="s">
        <v>53</v>
      </c>
      <c r="D18" s="10" t="s">
        <v>54</v>
      </c>
      <c r="E18" s="10" t="s">
        <v>55</v>
      </c>
      <c r="F18" s="10" t="s">
        <v>14</v>
      </c>
      <c r="G18" s="11" t="n">
        <v>1</v>
      </c>
      <c r="H18" s="11" t="s">
        <v>15</v>
      </c>
      <c r="I18" s="11" t="s">
        <v>14</v>
      </c>
    </row>
    <row r="19" customFormat="false" ht="15" hidden="false" customHeight="false" outlineLevel="0" collapsed="false">
      <c r="A19" s="4" t="n">
        <v>7</v>
      </c>
      <c r="B19" s="5" t="n">
        <v>46279</v>
      </c>
      <c r="C19" s="6" t="s">
        <v>53</v>
      </c>
      <c r="D19" s="6" t="s">
        <v>56</v>
      </c>
      <c r="E19" s="6" t="s">
        <v>57</v>
      </c>
      <c r="F19" s="6" t="s">
        <v>58</v>
      </c>
      <c r="G19" s="7" t="n">
        <v>4</v>
      </c>
      <c r="H19" s="7" t="s">
        <v>15</v>
      </c>
      <c r="I19" s="7" t="s">
        <v>14</v>
      </c>
    </row>
    <row r="20" customFormat="false" ht="23.85" hidden="false" customHeight="false" outlineLevel="0" collapsed="false">
      <c r="A20" s="8" t="n">
        <v>8</v>
      </c>
      <c r="B20" s="9" t="n">
        <v>46286</v>
      </c>
      <c r="C20" s="10" t="s">
        <v>53</v>
      </c>
      <c r="D20" s="10" t="s">
        <v>59</v>
      </c>
      <c r="E20" s="10" t="s">
        <v>60</v>
      </c>
      <c r="F20" s="10" t="s">
        <v>61</v>
      </c>
      <c r="G20" s="11" t="n">
        <v>1</v>
      </c>
      <c r="H20" s="11" t="s">
        <v>15</v>
      </c>
      <c r="I20" s="11" t="s">
        <v>14</v>
      </c>
    </row>
    <row r="21" customFormat="false" ht="23.85" hidden="false" customHeight="false" outlineLevel="0" collapsed="false">
      <c r="A21" s="4" t="n">
        <v>9</v>
      </c>
      <c r="B21" s="5" t="n">
        <v>46293</v>
      </c>
      <c r="C21" s="6" t="s">
        <v>53</v>
      </c>
      <c r="D21" s="6" t="s">
        <v>62</v>
      </c>
      <c r="E21" s="6" t="s">
        <v>63</v>
      </c>
      <c r="F21" s="6" t="s">
        <v>64</v>
      </c>
      <c r="G21" s="7" t="n">
        <v>3</v>
      </c>
      <c r="H21" s="7" t="s">
        <v>15</v>
      </c>
      <c r="I21" s="7" t="s">
        <v>14</v>
      </c>
    </row>
    <row r="22" customFormat="false" ht="23.85" hidden="false" customHeight="false" outlineLevel="0" collapsed="false">
      <c r="A22" s="8" t="n">
        <v>10</v>
      </c>
      <c r="B22" s="9" t="n">
        <v>46300</v>
      </c>
      <c r="C22" s="10" t="s">
        <v>53</v>
      </c>
      <c r="D22" s="10" t="s">
        <v>65</v>
      </c>
      <c r="E22" s="10" t="s">
        <v>66</v>
      </c>
      <c r="F22" s="10" t="s">
        <v>67</v>
      </c>
      <c r="G22" s="11" t="n">
        <v>1</v>
      </c>
      <c r="H22" s="11" t="s">
        <v>15</v>
      </c>
      <c r="I22" s="11" t="s">
        <v>14</v>
      </c>
    </row>
    <row r="23" customFormat="false" ht="23.85" hidden="false" customHeight="false" outlineLevel="0" collapsed="false">
      <c r="A23" s="4" t="n">
        <v>8</v>
      </c>
      <c r="B23" s="5" t="n">
        <v>46286</v>
      </c>
      <c r="C23" s="6" t="s">
        <v>68</v>
      </c>
      <c r="D23" s="6" t="s">
        <v>69</v>
      </c>
      <c r="E23" s="6" t="s">
        <v>70</v>
      </c>
      <c r="F23" s="6" t="s">
        <v>71</v>
      </c>
      <c r="G23" s="7" t="n">
        <v>4</v>
      </c>
      <c r="H23" s="7" t="s">
        <v>15</v>
      </c>
      <c r="I23" s="7" t="s">
        <v>72</v>
      </c>
    </row>
    <row r="24" customFormat="false" ht="23.85" hidden="false" customHeight="false" outlineLevel="0" collapsed="false">
      <c r="A24" s="8" t="n">
        <v>9</v>
      </c>
      <c r="B24" s="9" t="n">
        <v>46293</v>
      </c>
      <c r="C24" s="10" t="s">
        <v>68</v>
      </c>
      <c r="D24" s="10" t="s">
        <v>73</v>
      </c>
      <c r="E24" s="10" t="s">
        <v>74</v>
      </c>
      <c r="F24" s="10" t="s">
        <v>75</v>
      </c>
      <c r="G24" s="11" t="n">
        <v>3</v>
      </c>
      <c r="H24" s="11" t="s">
        <v>15</v>
      </c>
      <c r="I24" s="11" t="s">
        <v>72</v>
      </c>
    </row>
    <row r="25" customFormat="false" ht="23.85" hidden="false" customHeight="false" outlineLevel="0" collapsed="false">
      <c r="A25" s="12" t="n">
        <v>10</v>
      </c>
      <c r="B25" s="13" t="n">
        <v>46300</v>
      </c>
      <c r="C25" s="14" t="s">
        <v>49</v>
      </c>
      <c r="D25" s="14" t="s">
        <v>76</v>
      </c>
      <c r="E25" s="14" t="s">
        <v>77</v>
      </c>
      <c r="F25" s="14" t="s">
        <v>78</v>
      </c>
      <c r="G25" s="12" t="n">
        <v>0</v>
      </c>
      <c r="H25" s="12" t="s">
        <v>15</v>
      </c>
      <c r="I25" s="12" t="s">
        <v>72</v>
      </c>
    </row>
    <row r="26" customFormat="false" ht="23.85" hidden="false" customHeight="false" outlineLevel="0" collapsed="false">
      <c r="A26" s="8" t="n">
        <v>11</v>
      </c>
      <c r="B26" s="9" t="n">
        <v>46307</v>
      </c>
      <c r="C26" s="10" t="s">
        <v>68</v>
      </c>
      <c r="D26" s="10" t="s">
        <v>79</v>
      </c>
      <c r="E26" s="10" t="s">
        <v>80</v>
      </c>
      <c r="F26" s="10" t="s">
        <v>81</v>
      </c>
      <c r="G26" s="11" t="n">
        <v>4</v>
      </c>
      <c r="H26" s="11" t="s">
        <v>15</v>
      </c>
      <c r="I26" s="11" t="s">
        <v>82</v>
      </c>
    </row>
    <row r="27" customFormat="false" ht="23.85" hidden="false" customHeight="false" outlineLevel="0" collapsed="false">
      <c r="A27" s="4" t="n">
        <v>12</v>
      </c>
      <c r="B27" s="5" t="n">
        <v>46314</v>
      </c>
      <c r="C27" s="6" t="s">
        <v>68</v>
      </c>
      <c r="D27" s="6" t="s">
        <v>83</v>
      </c>
      <c r="E27" s="6" t="s">
        <v>84</v>
      </c>
      <c r="F27" s="6" t="s">
        <v>85</v>
      </c>
      <c r="G27" s="7" t="n">
        <v>4</v>
      </c>
      <c r="H27" s="7" t="s">
        <v>15</v>
      </c>
      <c r="I27" s="7" t="s">
        <v>72</v>
      </c>
    </row>
    <row r="28" customFormat="false" ht="23.85" hidden="false" customHeight="false" outlineLevel="0" collapsed="false">
      <c r="A28" s="8" t="n">
        <v>13</v>
      </c>
      <c r="B28" s="9" t="n">
        <v>46321</v>
      </c>
      <c r="C28" s="10" t="s">
        <v>68</v>
      </c>
      <c r="D28" s="10" t="s">
        <v>86</v>
      </c>
      <c r="E28" s="10" t="s">
        <v>87</v>
      </c>
      <c r="F28" s="10" t="s">
        <v>88</v>
      </c>
      <c r="G28" s="11" t="n">
        <v>2.5</v>
      </c>
      <c r="H28" s="11" t="s">
        <v>15</v>
      </c>
      <c r="I28" s="11" t="s">
        <v>72</v>
      </c>
    </row>
    <row r="29" customFormat="false" ht="23.85" hidden="false" customHeight="false" outlineLevel="0" collapsed="false">
      <c r="A29" s="4" t="n">
        <v>14</v>
      </c>
      <c r="B29" s="5" t="n">
        <v>46328</v>
      </c>
      <c r="C29" s="6" t="s">
        <v>68</v>
      </c>
      <c r="D29" s="6" t="s">
        <v>89</v>
      </c>
      <c r="E29" s="6" t="s">
        <v>90</v>
      </c>
      <c r="F29" s="6" t="s">
        <v>91</v>
      </c>
      <c r="G29" s="7" t="n">
        <v>4</v>
      </c>
      <c r="H29" s="7" t="s">
        <v>15</v>
      </c>
      <c r="I29" s="7" t="s">
        <v>14</v>
      </c>
    </row>
    <row r="30" customFormat="false" ht="15" hidden="false" customHeight="false" outlineLevel="0" collapsed="false">
      <c r="A30" s="8" t="n">
        <v>15</v>
      </c>
      <c r="B30" s="9" t="n">
        <v>46335</v>
      </c>
      <c r="C30" s="10" t="s">
        <v>68</v>
      </c>
      <c r="D30" s="10" t="s">
        <v>92</v>
      </c>
      <c r="E30" s="10" t="s">
        <v>93</v>
      </c>
      <c r="F30" s="10" t="s">
        <v>94</v>
      </c>
      <c r="G30" s="11" t="n">
        <v>3</v>
      </c>
      <c r="H30" s="11" t="s">
        <v>15</v>
      </c>
      <c r="I30" s="11" t="s">
        <v>14</v>
      </c>
    </row>
    <row r="31" customFormat="false" ht="23.85" hidden="false" customHeight="false" outlineLevel="0" collapsed="false">
      <c r="A31" s="4" t="n">
        <v>16</v>
      </c>
      <c r="B31" s="5" t="n">
        <v>46342</v>
      </c>
      <c r="C31" s="6" t="s">
        <v>68</v>
      </c>
      <c r="D31" s="6" t="s">
        <v>95</v>
      </c>
      <c r="E31" s="6" t="s">
        <v>96</v>
      </c>
      <c r="F31" s="6" t="s">
        <v>97</v>
      </c>
      <c r="G31" s="7" t="n">
        <v>2</v>
      </c>
      <c r="H31" s="7" t="s">
        <v>15</v>
      </c>
      <c r="I31" s="7" t="s">
        <v>98</v>
      </c>
    </row>
    <row r="32" customFormat="false" ht="23.85" hidden="false" customHeight="false" outlineLevel="0" collapsed="false">
      <c r="A32" s="8" t="n">
        <v>17</v>
      </c>
      <c r="B32" s="9" t="n">
        <v>46349</v>
      </c>
      <c r="C32" s="10" t="s">
        <v>68</v>
      </c>
      <c r="D32" s="10" t="s">
        <v>99</v>
      </c>
      <c r="E32" s="10" t="s">
        <v>100</v>
      </c>
      <c r="F32" s="10" t="s">
        <v>101</v>
      </c>
      <c r="G32" s="11" t="n">
        <v>1.5</v>
      </c>
      <c r="H32" s="11" t="s">
        <v>15</v>
      </c>
      <c r="I32" s="11" t="s">
        <v>14</v>
      </c>
    </row>
    <row r="33" customFormat="false" ht="23.85" hidden="false" customHeight="false" outlineLevel="0" collapsed="false">
      <c r="A33" s="4" t="n">
        <v>14</v>
      </c>
      <c r="B33" s="5" t="n">
        <v>46328</v>
      </c>
      <c r="C33" s="6" t="s">
        <v>102</v>
      </c>
      <c r="D33" s="6" t="s">
        <v>103</v>
      </c>
      <c r="E33" s="6" t="s">
        <v>104</v>
      </c>
      <c r="F33" s="6" t="s">
        <v>105</v>
      </c>
      <c r="G33" s="7" t="n">
        <v>3</v>
      </c>
      <c r="H33" s="7" t="s">
        <v>15</v>
      </c>
      <c r="I33" s="7" t="s">
        <v>106</v>
      </c>
    </row>
    <row r="34" customFormat="false" ht="23.85" hidden="false" customHeight="false" outlineLevel="0" collapsed="false">
      <c r="A34" s="8" t="n">
        <v>16</v>
      </c>
      <c r="B34" s="9" t="n">
        <v>46342</v>
      </c>
      <c r="C34" s="10" t="s">
        <v>102</v>
      </c>
      <c r="D34" s="10" t="s">
        <v>107</v>
      </c>
      <c r="E34" s="10" t="s">
        <v>108</v>
      </c>
      <c r="F34" s="10" t="s">
        <v>109</v>
      </c>
      <c r="G34" s="11" t="n">
        <v>1</v>
      </c>
      <c r="H34" s="11" t="s">
        <v>15</v>
      </c>
      <c r="I34" s="11" t="s">
        <v>18</v>
      </c>
    </row>
    <row r="35" customFormat="false" ht="23.85" hidden="false" customHeight="false" outlineLevel="0" collapsed="false">
      <c r="A35" s="4" t="n">
        <v>18</v>
      </c>
      <c r="B35" s="5" t="n">
        <v>46356</v>
      </c>
      <c r="C35" s="6" t="s">
        <v>102</v>
      </c>
      <c r="D35" s="6" t="s">
        <v>110</v>
      </c>
      <c r="E35" s="6" t="s">
        <v>111</v>
      </c>
      <c r="F35" s="6" t="s">
        <v>112</v>
      </c>
      <c r="G35" s="7" t="n">
        <v>5</v>
      </c>
      <c r="H35" s="7" t="s">
        <v>15</v>
      </c>
      <c r="I35" s="7" t="s">
        <v>106</v>
      </c>
    </row>
    <row r="36" customFormat="false" ht="23.85" hidden="false" customHeight="false" outlineLevel="0" collapsed="false">
      <c r="A36" s="8" t="n">
        <v>20</v>
      </c>
      <c r="B36" s="9" t="n">
        <v>46370</v>
      </c>
      <c r="C36" s="10" t="s">
        <v>102</v>
      </c>
      <c r="D36" s="10" t="s">
        <v>113</v>
      </c>
      <c r="E36" s="10" t="s">
        <v>114</v>
      </c>
      <c r="F36" s="10" t="s">
        <v>115</v>
      </c>
      <c r="G36" s="11" t="n">
        <v>4</v>
      </c>
      <c r="H36" s="11" t="s">
        <v>15</v>
      </c>
      <c r="I36" s="11" t="s">
        <v>116</v>
      </c>
    </row>
    <row r="37" customFormat="false" ht="23.85" hidden="false" customHeight="false" outlineLevel="0" collapsed="false">
      <c r="A37" s="12" t="n">
        <v>21</v>
      </c>
      <c r="B37" s="13" t="n">
        <v>46377</v>
      </c>
      <c r="C37" s="14" t="s">
        <v>49</v>
      </c>
      <c r="D37" s="14" t="s">
        <v>117</v>
      </c>
      <c r="E37" s="14" t="s">
        <v>118</v>
      </c>
      <c r="F37" s="14" t="s">
        <v>119</v>
      </c>
      <c r="G37" s="12" t="n">
        <v>0</v>
      </c>
      <c r="H37" s="12" t="s">
        <v>15</v>
      </c>
      <c r="I37" s="12" t="s">
        <v>18</v>
      </c>
    </row>
    <row r="38" customFormat="false" ht="23.85" hidden="false" customHeight="false" outlineLevel="0" collapsed="false">
      <c r="A38" s="8" t="n">
        <v>22</v>
      </c>
      <c r="B38" s="9" t="n">
        <v>46384</v>
      </c>
      <c r="C38" s="10" t="s">
        <v>102</v>
      </c>
      <c r="D38" s="10" t="s">
        <v>120</v>
      </c>
      <c r="E38" s="10" t="s">
        <v>121</v>
      </c>
      <c r="F38" s="10" t="s">
        <v>119</v>
      </c>
      <c r="G38" s="11" t="n">
        <v>1.5</v>
      </c>
      <c r="H38" s="11" t="s">
        <v>15</v>
      </c>
      <c r="I38" s="11" t="s">
        <v>116</v>
      </c>
    </row>
    <row r="39" customFormat="false" ht="23.85" hidden="false" customHeight="false" outlineLevel="0" collapsed="false">
      <c r="A39" s="4" t="n">
        <v>23</v>
      </c>
      <c r="B39" s="5" t="n">
        <v>46391</v>
      </c>
      <c r="C39" s="6" t="s">
        <v>102</v>
      </c>
      <c r="D39" s="6" t="s">
        <v>122</v>
      </c>
      <c r="E39" s="6" t="s">
        <v>123</v>
      </c>
      <c r="F39" s="6" t="s">
        <v>124</v>
      </c>
      <c r="G39" s="7" t="n">
        <v>1</v>
      </c>
      <c r="H39" s="7" t="s">
        <v>15</v>
      </c>
      <c r="I39" s="7" t="s">
        <v>116</v>
      </c>
    </row>
    <row r="40" customFormat="false" ht="23.85" hidden="false" customHeight="false" outlineLevel="0" collapsed="false">
      <c r="A40" s="8" t="n">
        <v>24</v>
      </c>
      <c r="B40" s="9" t="n">
        <v>46398</v>
      </c>
      <c r="C40" s="10" t="s">
        <v>102</v>
      </c>
      <c r="D40" s="10" t="s">
        <v>125</v>
      </c>
      <c r="E40" s="10" t="s">
        <v>126</v>
      </c>
      <c r="F40" s="10" t="s">
        <v>127</v>
      </c>
      <c r="G40" s="11" t="n">
        <v>1.5</v>
      </c>
      <c r="H40" s="11" t="s">
        <v>15</v>
      </c>
      <c r="I40" s="11" t="s">
        <v>106</v>
      </c>
    </row>
    <row r="41" customFormat="false" ht="15" hidden="false" customHeight="false" outlineLevel="0" collapsed="false">
      <c r="A41" s="4" t="n">
        <v>25</v>
      </c>
      <c r="B41" s="5" t="n">
        <v>46405</v>
      </c>
      <c r="C41" s="6" t="s">
        <v>102</v>
      </c>
      <c r="D41" s="6" t="s">
        <v>128</v>
      </c>
      <c r="E41" s="6" t="s">
        <v>129</v>
      </c>
      <c r="F41" s="6" t="s">
        <v>130</v>
      </c>
      <c r="G41" s="7" t="n">
        <v>3</v>
      </c>
      <c r="H41" s="7" t="s">
        <v>15</v>
      </c>
      <c r="I41" s="7" t="s">
        <v>14</v>
      </c>
    </row>
    <row r="42" customFormat="false" ht="23.85" hidden="false" customHeight="false" outlineLevel="0" collapsed="false">
      <c r="A42" s="8" t="n">
        <v>26</v>
      </c>
      <c r="B42" s="9" t="n">
        <v>46412</v>
      </c>
      <c r="C42" s="10" t="s">
        <v>102</v>
      </c>
      <c r="D42" s="10" t="s">
        <v>131</v>
      </c>
      <c r="E42" s="10" t="s">
        <v>132</v>
      </c>
      <c r="F42" s="10" t="s">
        <v>133</v>
      </c>
      <c r="G42" s="11" t="n">
        <v>1.5</v>
      </c>
      <c r="H42" s="11" t="s">
        <v>15</v>
      </c>
      <c r="I42" s="11" t="s">
        <v>14</v>
      </c>
    </row>
    <row r="44" customFormat="false" ht="15" hidden="false" customHeight="false" outlineLevel="0" collapsed="false">
      <c r="F44" s="15" t="s">
        <v>134</v>
      </c>
      <c r="G44" s="16" t="n">
        <f aca="false">SUM(G5:G42)</f>
        <v>82</v>
      </c>
    </row>
    <row r="45" customFormat="false" ht="15" hidden="false" customHeight="false" outlineLevel="0" collapsed="false">
      <c r="F45" s="17" t="s">
        <v>135</v>
      </c>
      <c r="G45" s="18" t="n">
        <v>65</v>
      </c>
    </row>
    <row r="46" customFormat="false" ht="15" hidden="false" customHeight="false" outlineLevel="0" collapsed="false">
      <c r="F46" s="15" t="s">
        <v>136</v>
      </c>
      <c r="G46" s="16" t="n">
        <f aca="false">G45-G44</f>
        <v>-17</v>
      </c>
    </row>
    <row r="48" customFormat="false" ht="15" hidden="false" customHeight="false" outlineLevel="0" collapsed="false">
      <c r="A48" s="2" t="s">
        <v>137</v>
      </c>
    </row>
    <row r="49" customFormat="false" ht="15" hidden="false" customHeight="false" outlineLevel="0" collapsed="false">
      <c r="A49" s="19" t="s">
        <v>138</v>
      </c>
    </row>
  </sheetData>
  <conditionalFormatting sqref="H5:H42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"Blocked"</formula>
    </cfRule>
    <cfRule type="cellIs" priority="4" operator="equal" aboveAverage="0" equalAverage="0" bottom="0" percent="0" rank="0" text="" dxfId="2">
      <formula>"In progress"</formula>
    </cfRule>
  </conditionalFormatting>
  <dataValidations count="1">
    <dataValidation allowBlank="true" errorStyle="stop" operator="between" showDropDown="false" showErrorMessage="false" showInputMessage="false" sqref="H5:H42" type="list">
      <formula1>"Not started,In progress,Blocked,Done,Descoped"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54"/>
    <col collapsed="false" customWidth="true" hidden="false" outlineLevel="0" max="5" min="5" style="0" width="15"/>
  </cols>
  <sheetData>
    <row r="1" customFormat="false" ht="19.5" hidden="false" customHeight="tru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15" hidden="false" customHeight="false" outlineLevel="0" collapsed="false">
      <c r="A4" s="20" t="s">
        <v>141</v>
      </c>
    </row>
    <row r="5" customFormat="false" ht="15" hidden="false" customHeight="false" outlineLevel="0" collapsed="false">
      <c r="A5" s="21" t="s">
        <v>142</v>
      </c>
      <c r="B5" s="22" t="n">
        <f aca="false">COUNTA(Roadmap!D5:D42)-COUNTIF(Roadmap!C5:C42,"GATE")</f>
        <v>35</v>
      </c>
    </row>
    <row r="6" customFormat="false" ht="15" hidden="false" customHeight="false" outlineLevel="0" collapsed="false">
      <c r="A6" s="21" t="s">
        <v>143</v>
      </c>
      <c r="B6" s="22" t="n">
        <f aca="false">COUNTIF(Roadmap!H5:H42,"Done")</f>
        <v>0</v>
      </c>
    </row>
    <row r="7" customFormat="false" ht="15" hidden="false" customHeight="false" outlineLevel="0" collapsed="false">
      <c r="A7" s="21" t="s">
        <v>144</v>
      </c>
      <c r="B7" s="22" t="n">
        <f aca="false">COUNTIF(Roadmap!H5:H42,"In progress")</f>
        <v>0</v>
      </c>
    </row>
    <row r="8" customFormat="false" ht="15" hidden="false" customHeight="false" outlineLevel="0" collapsed="false">
      <c r="A8" s="21" t="s">
        <v>145</v>
      </c>
      <c r="B8" s="22" t="n">
        <f aca="false">COUNTIF(Roadmap!H5:H42,"Blocked")</f>
        <v>0</v>
      </c>
    </row>
    <row r="9" customFormat="false" ht="15" hidden="false" customHeight="false" outlineLevel="0" collapsed="false">
      <c r="A9" s="15" t="s">
        <v>146</v>
      </c>
      <c r="B9" s="23" t="n">
        <f aca="false">IFERROR(B6/B5,0)</f>
        <v>0</v>
      </c>
    </row>
    <row r="12" customFormat="false" ht="15" hidden="false" customHeight="false" outlineLevel="0" collapsed="false">
      <c r="A12" s="20" t="s">
        <v>147</v>
      </c>
    </row>
    <row r="13" customFormat="false" ht="18" hidden="false" customHeight="true" outlineLevel="0" collapsed="false">
      <c r="A13" s="3" t="s">
        <v>4</v>
      </c>
      <c r="B13" s="3" t="s">
        <v>148</v>
      </c>
      <c r="C13" s="3" t="s">
        <v>143</v>
      </c>
      <c r="D13" s="3" t="s">
        <v>149</v>
      </c>
    </row>
    <row r="14" customFormat="false" ht="15" hidden="false" customHeight="false" outlineLevel="0" collapsed="false">
      <c r="A14" s="24" t="s">
        <v>11</v>
      </c>
      <c r="B14" s="22" t="n">
        <f aca="false">SUMIF(Roadmap!$C$5:$C$42,$A14,Roadmap!$G$5:$G$42)</f>
        <v>22.5</v>
      </c>
      <c r="C14" s="22" t="n">
        <f aca="false">SUMIFS(Roadmap!$G$5:$G$42,Roadmap!$C$5:$C$42,$A14,Roadmap!$H$5:$H$42,"Done")</f>
        <v>0</v>
      </c>
      <c r="D14" s="25" t="n">
        <f aca="false">IFERROR(C14/B14,0)</f>
        <v>0</v>
      </c>
    </row>
    <row r="15" customFormat="false" ht="15" hidden="false" customHeight="false" outlineLevel="0" collapsed="false">
      <c r="A15" s="24" t="s">
        <v>53</v>
      </c>
      <c r="B15" s="22" t="n">
        <f aca="false">SUMIF(Roadmap!$C$5:$C$42,$A15,Roadmap!$G$5:$G$42)</f>
        <v>10</v>
      </c>
      <c r="C15" s="22" t="n">
        <f aca="false">SUMIFS(Roadmap!$G$5:$G$42,Roadmap!$C$5:$C$42,$A15,Roadmap!$H$5:$H$42,"Done")</f>
        <v>0</v>
      </c>
      <c r="D15" s="25" t="n">
        <f aca="false">IFERROR(C15/B15,0)</f>
        <v>0</v>
      </c>
    </row>
    <row r="16" customFormat="false" ht="15" hidden="false" customHeight="false" outlineLevel="0" collapsed="false">
      <c r="A16" s="24" t="s">
        <v>68</v>
      </c>
      <c r="B16" s="22" t="n">
        <f aca="false">SUMIF(Roadmap!$C$5:$C$42,$A16,Roadmap!$G$5:$G$42)</f>
        <v>28</v>
      </c>
      <c r="C16" s="22" t="n">
        <f aca="false">SUMIFS(Roadmap!$G$5:$G$42,Roadmap!$C$5:$C$42,$A16,Roadmap!$H$5:$H$42,"Done")</f>
        <v>0</v>
      </c>
      <c r="D16" s="25" t="n">
        <f aca="false">IFERROR(C16/B16,0)</f>
        <v>0</v>
      </c>
    </row>
    <row r="17" customFormat="false" ht="15" hidden="false" customHeight="false" outlineLevel="0" collapsed="false">
      <c r="A17" s="24" t="s">
        <v>102</v>
      </c>
      <c r="B17" s="22" t="n">
        <f aca="false">SUMIF(Roadmap!$C$5:$C$42,$A17,Roadmap!$G$5:$G$42)</f>
        <v>21.5</v>
      </c>
      <c r="C17" s="22" t="n">
        <f aca="false">SUMIFS(Roadmap!$G$5:$G$42,Roadmap!$C$5:$C$42,$A17,Roadmap!$H$5:$H$42,"Done")</f>
        <v>0</v>
      </c>
      <c r="D17" s="25" t="n">
        <f aca="false">IFERROR(C17/B17,0)</f>
        <v>0</v>
      </c>
    </row>
    <row r="18" customFormat="false" ht="15" hidden="false" customHeight="false" outlineLevel="0" collapsed="false">
      <c r="A18" s="26" t="s">
        <v>150</v>
      </c>
      <c r="B18" s="27" t="n">
        <f aca="false">SUM(B14:B17)</f>
        <v>82</v>
      </c>
      <c r="C18" s="27" t="n">
        <f aca="false">SUM(C14:C17)</f>
        <v>0</v>
      </c>
      <c r="D18" s="23" t="n">
        <f aca="false">IFERROR(C18/B18,0)</f>
        <v>0</v>
      </c>
    </row>
    <row r="21" customFormat="false" ht="15" hidden="false" customHeight="false" outlineLevel="0" collapsed="false">
      <c r="A21" s="20" t="s">
        <v>151</v>
      </c>
    </row>
    <row r="22" customFormat="false" ht="15" hidden="false" customHeight="false" outlineLevel="0" collapsed="false">
      <c r="A22" s="21" t="s">
        <v>152</v>
      </c>
      <c r="B22" s="28" t="n">
        <f aca="false">'Weight Budget'!C19</f>
        <v>18.5875</v>
      </c>
    </row>
    <row r="23" customFormat="false" ht="15" hidden="false" customHeight="false" outlineLevel="0" collapsed="false">
      <c r="A23" s="21" t="s">
        <v>153</v>
      </c>
      <c r="B23" s="29" t="n">
        <f aca="false">23</f>
        <v>23</v>
      </c>
    </row>
    <row r="24" customFormat="false" ht="15" hidden="false" customHeight="false" outlineLevel="0" collapsed="false">
      <c r="A24" s="21" t="s">
        <v>154</v>
      </c>
      <c r="B24" s="28" t="n">
        <f aca="false">B23-B22</f>
        <v>4.4125</v>
      </c>
    </row>
    <row r="25" customFormat="false" ht="15" hidden="false" customHeight="false" outlineLevel="0" collapsed="false">
      <c r="A25" s="15" t="s">
        <v>155</v>
      </c>
      <c r="B25" s="30" t="str">
        <f aca="false">IF(B22&lt;=23,IF(B22&lt;=20,"PASS with margin","PASS - tight"),"FAIL - over limit")</f>
        <v>PASS with margin</v>
      </c>
    </row>
    <row r="26" customFormat="false" ht="15" hidden="false" customHeight="false" outlineLevel="0" collapsed="false">
      <c r="A26" s="21" t="s">
        <v>156</v>
      </c>
      <c r="B26" s="29" t="n">
        <f aca="false">Packing!C7+Packing!C8+Packing!C9</f>
        <v>158</v>
      </c>
    </row>
    <row r="27" customFormat="false" ht="15" hidden="false" customHeight="false" outlineLevel="0" collapsed="false">
      <c r="A27" s="21" t="s">
        <v>157</v>
      </c>
      <c r="B27" s="29" t="n">
        <f aca="false">158</f>
        <v>158</v>
      </c>
    </row>
    <row r="28" customFormat="false" ht="15" hidden="false" customHeight="false" outlineLevel="0" collapsed="false">
      <c r="A28" s="15" t="s">
        <v>158</v>
      </c>
      <c r="B28" s="30" t="str">
        <f aca="false">IF(B26&lt;=158,"PASS","FAIL - over limit")</f>
        <v>PASS</v>
      </c>
    </row>
    <row r="31" customFormat="false" ht="15" hidden="false" customHeight="false" outlineLevel="0" collapsed="false">
      <c r="A31" s="20" t="s">
        <v>159</v>
      </c>
    </row>
    <row r="32" customFormat="false" ht="18" hidden="false" customHeight="true" outlineLevel="0" collapsed="false">
      <c r="A32" s="3" t="s">
        <v>160</v>
      </c>
      <c r="B32" s="3" t="s">
        <v>161</v>
      </c>
      <c r="C32" s="3" t="s">
        <v>162</v>
      </c>
      <c r="D32" s="3" t="s">
        <v>163</v>
      </c>
    </row>
    <row r="33" customFormat="false" ht="30" hidden="false" customHeight="true" outlineLevel="0" collapsed="false">
      <c r="A33" s="31" t="s">
        <v>164</v>
      </c>
      <c r="B33" s="7" t="n">
        <v>6</v>
      </c>
      <c r="C33" s="6" t="s">
        <v>165</v>
      </c>
      <c r="D33" s="6" t="s">
        <v>166</v>
      </c>
    </row>
    <row r="34" customFormat="false" ht="30" hidden="false" customHeight="true" outlineLevel="0" collapsed="false">
      <c r="A34" s="32" t="s">
        <v>167</v>
      </c>
      <c r="B34" s="11" t="n">
        <v>10</v>
      </c>
      <c r="C34" s="10" t="s">
        <v>168</v>
      </c>
      <c r="D34" s="10" t="s">
        <v>169</v>
      </c>
    </row>
    <row r="35" customFormat="false" ht="30" hidden="false" customHeight="true" outlineLevel="0" collapsed="false">
      <c r="A35" s="31" t="s">
        <v>170</v>
      </c>
      <c r="B35" s="7" t="s">
        <v>171</v>
      </c>
      <c r="C35" s="6" t="s">
        <v>172</v>
      </c>
      <c r="D35" s="6" t="s">
        <v>173</v>
      </c>
    </row>
    <row r="36" customFormat="false" ht="30" hidden="false" customHeight="true" outlineLevel="0" collapsed="false">
      <c r="A36" s="32" t="s">
        <v>130</v>
      </c>
      <c r="B36" s="11" t="n">
        <v>24</v>
      </c>
      <c r="C36" s="10" t="s">
        <v>174</v>
      </c>
      <c r="D36" s="10" t="s">
        <v>175</v>
      </c>
    </row>
    <row r="37" customFormat="false" ht="30" hidden="false" customHeight="true" outlineLevel="0" collapsed="false">
      <c r="A37" s="31" t="s">
        <v>176</v>
      </c>
      <c r="B37" s="7" t="s">
        <v>177</v>
      </c>
      <c r="C37" s="6" t="s">
        <v>178</v>
      </c>
      <c r="D37" s="6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44"/>
  </cols>
  <sheetData>
    <row r="1" customFormat="false" ht="19.5" hidden="false" customHeight="true" outlineLevel="0" collapsed="false">
      <c r="A1" s="1" t="s">
        <v>180</v>
      </c>
    </row>
    <row r="2" customFormat="false" ht="15" hidden="false" customHeight="false" outlineLevel="0" collapsed="false">
      <c r="A2" s="2" t="s">
        <v>181</v>
      </c>
    </row>
    <row r="4" customFormat="false" ht="30" hidden="false" customHeight="true" outlineLevel="0" collapsed="false">
      <c r="A4" s="3" t="s">
        <v>182</v>
      </c>
      <c r="B4" s="3" t="s">
        <v>183</v>
      </c>
      <c r="C4" s="3" t="s">
        <v>184</v>
      </c>
      <c r="D4" s="3" t="s">
        <v>185</v>
      </c>
      <c r="E4" s="3" t="s">
        <v>186</v>
      </c>
      <c r="F4" s="3" t="s">
        <v>187</v>
      </c>
      <c r="G4" s="3" t="s">
        <v>188</v>
      </c>
    </row>
    <row r="5" customFormat="false" ht="23.85" hidden="false" customHeight="false" outlineLevel="0" collapsed="false">
      <c r="A5" s="31" t="s">
        <v>189</v>
      </c>
      <c r="B5" s="6" t="s">
        <v>190</v>
      </c>
      <c r="C5" s="33" t="n">
        <v>0.47</v>
      </c>
      <c r="D5" s="34"/>
      <c r="E5" s="33" t="n">
        <f aca="false">IF(D5="",C5,D5)</f>
        <v>0.47</v>
      </c>
      <c r="F5" s="7" t="s">
        <v>191</v>
      </c>
      <c r="G5" s="6"/>
    </row>
    <row r="6" customFormat="false" ht="15" hidden="false" customHeight="false" outlineLevel="0" collapsed="false">
      <c r="A6" s="32" t="s">
        <v>192</v>
      </c>
      <c r="B6" s="10" t="s">
        <v>193</v>
      </c>
      <c r="C6" s="35" t="n">
        <v>1.8</v>
      </c>
      <c r="D6" s="36"/>
      <c r="E6" s="35" t="n">
        <f aca="false">IF(D6="",C6,D6)</f>
        <v>1.8</v>
      </c>
      <c r="F6" s="11" t="s">
        <v>191</v>
      </c>
      <c r="G6" s="10"/>
    </row>
    <row r="7" customFormat="false" ht="23.85" hidden="false" customHeight="false" outlineLevel="0" collapsed="false">
      <c r="A7" s="31" t="s">
        <v>194</v>
      </c>
      <c r="B7" s="6" t="s">
        <v>195</v>
      </c>
      <c r="C7" s="33" t="n">
        <v>1.6</v>
      </c>
      <c r="D7" s="34"/>
      <c r="E7" s="33" t="n">
        <f aca="false">IF(D7="",C7,D7)</f>
        <v>1.6</v>
      </c>
      <c r="F7" s="7" t="s">
        <v>191</v>
      </c>
      <c r="G7" s="6"/>
    </row>
    <row r="8" customFormat="false" ht="15" hidden="false" customHeight="false" outlineLevel="0" collapsed="false">
      <c r="A8" s="32" t="s">
        <v>196</v>
      </c>
      <c r="B8" s="10" t="s">
        <v>197</v>
      </c>
      <c r="C8" s="35" t="n">
        <v>0.3</v>
      </c>
      <c r="D8" s="36"/>
      <c r="E8" s="35" t="n">
        <f aca="false">IF(D8="",C8,D8)</f>
        <v>0.3</v>
      </c>
      <c r="F8" s="11" t="s">
        <v>191</v>
      </c>
      <c r="G8" s="10"/>
    </row>
    <row r="9" customFormat="false" ht="23.85" hidden="false" customHeight="false" outlineLevel="0" collapsed="false">
      <c r="A9" s="31" t="s">
        <v>198</v>
      </c>
      <c r="B9" s="6" t="s">
        <v>199</v>
      </c>
      <c r="C9" s="33" t="n">
        <v>1.5</v>
      </c>
      <c r="D9" s="34"/>
      <c r="E9" s="33" t="n">
        <f aca="false">IF(D9="",C9,D9)</f>
        <v>1.5</v>
      </c>
      <c r="F9" s="7" t="s">
        <v>191</v>
      </c>
      <c r="G9" s="6"/>
    </row>
    <row r="10" customFormat="false" ht="23.85" hidden="false" customHeight="false" outlineLevel="0" collapsed="false">
      <c r="A10" s="32" t="s">
        <v>200</v>
      </c>
      <c r="B10" s="10" t="s">
        <v>201</v>
      </c>
      <c r="C10" s="35" t="n">
        <v>3.5</v>
      </c>
      <c r="D10" s="36"/>
      <c r="E10" s="35" t="n">
        <f aca="false">IF(D10="",C10,D10)</f>
        <v>3.5</v>
      </c>
      <c r="F10" s="11" t="s">
        <v>191</v>
      </c>
      <c r="G10" s="10"/>
    </row>
    <row r="11" customFormat="false" ht="23.85" hidden="false" customHeight="false" outlineLevel="0" collapsed="false">
      <c r="A11" s="31" t="s">
        <v>202</v>
      </c>
      <c r="B11" s="6" t="s">
        <v>203</v>
      </c>
      <c r="C11" s="33" t="n">
        <v>0.8</v>
      </c>
      <c r="D11" s="34"/>
      <c r="E11" s="33" t="n">
        <f aca="false">IF(D11="",C11,D11)</f>
        <v>0.8</v>
      </c>
      <c r="F11" s="7" t="s">
        <v>191</v>
      </c>
      <c r="G11" s="6"/>
    </row>
    <row r="12" customFormat="false" ht="23.85" hidden="false" customHeight="false" outlineLevel="0" collapsed="false">
      <c r="A12" s="32" t="s">
        <v>204</v>
      </c>
      <c r="B12" s="10" t="s">
        <v>205</v>
      </c>
      <c r="C12" s="35" t="n">
        <v>4.5</v>
      </c>
      <c r="D12" s="36"/>
      <c r="E12" s="35" t="n">
        <f aca="false">IF(D12="",C12,D12)</f>
        <v>4.5</v>
      </c>
      <c r="F12" s="11" t="s">
        <v>191</v>
      </c>
      <c r="G12" s="10"/>
    </row>
    <row r="13" customFormat="false" ht="15" hidden="false" customHeight="false" outlineLevel="0" collapsed="false">
      <c r="A13" s="31" t="s">
        <v>206</v>
      </c>
      <c r="B13" s="6" t="s">
        <v>207</v>
      </c>
      <c r="C13" s="33" t="n">
        <v>0.4</v>
      </c>
      <c r="D13" s="34"/>
      <c r="E13" s="33" t="n">
        <f aca="false">IF(D13="",C13,D13)</f>
        <v>0.4</v>
      </c>
      <c r="F13" s="7" t="s">
        <v>191</v>
      </c>
      <c r="G13" s="6"/>
    </row>
    <row r="14" customFormat="false" ht="15" hidden="false" customHeight="false" outlineLevel="0" collapsed="false">
      <c r="A14" s="32" t="s">
        <v>208</v>
      </c>
      <c r="B14" s="10" t="s">
        <v>209</v>
      </c>
      <c r="C14" s="35" t="n">
        <v>12</v>
      </c>
      <c r="D14" s="36"/>
      <c r="E14" s="35" t="n">
        <f aca="false">IF(D14="",C14,D14)</f>
        <v>12</v>
      </c>
      <c r="F14" s="11" t="s">
        <v>210</v>
      </c>
      <c r="G14" s="10"/>
    </row>
    <row r="15" customFormat="false" ht="23.85" hidden="false" customHeight="false" outlineLevel="0" collapsed="false">
      <c r="A15" s="31" t="s">
        <v>211</v>
      </c>
      <c r="B15" s="6" t="s">
        <v>212</v>
      </c>
      <c r="C15" s="33" t="n">
        <v>15</v>
      </c>
      <c r="D15" s="34"/>
      <c r="E15" s="33" t="n">
        <f aca="false">IF(D15="",C15,D15)</f>
        <v>15</v>
      </c>
      <c r="F15" s="7" t="s">
        <v>210</v>
      </c>
      <c r="G15" s="6"/>
    </row>
    <row r="17" customFormat="false" ht="15" hidden="false" customHeight="false" outlineLevel="0" collapsed="false">
      <c r="B17" s="15" t="s">
        <v>213</v>
      </c>
      <c r="E17" s="37" t="n">
        <f aca="false">SUMIF(F5:F15,"Yes",E5:E15)</f>
        <v>14.87</v>
      </c>
    </row>
    <row r="18" customFormat="false" ht="15" hidden="false" customHeight="false" outlineLevel="0" collapsed="false">
      <c r="B18" s="21" t="s">
        <v>214</v>
      </c>
      <c r="D18" s="38" t="n">
        <v>0.25</v>
      </c>
      <c r="E18" s="39" t="n">
        <f aca="false">E17*D18</f>
        <v>3.7175</v>
      </c>
    </row>
    <row r="19" customFormat="false" ht="15" hidden="false" customHeight="false" outlineLevel="0" collapsed="false">
      <c r="B19" s="15" t="s">
        <v>215</v>
      </c>
      <c r="C19" s="40" t="n">
        <f aca="false">E17+E18</f>
        <v>18.5875</v>
      </c>
    </row>
    <row r="21" customFormat="false" ht="15" hidden="false" customHeight="false" outlineLevel="0" collapsed="false">
      <c r="B21" s="21" t="s">
        <v>153</v>
      </c>
      <c r="C21" s="41" t="n">
        <v>23</v>
      </c>
    </row>
    <row r="22" customFormat="false" ht="15" hidden="false" customHeight="false" outlineLevel="0" collapsed="false">
      <c r="B22" s="21" t="s">
        <v>216</v>
      </c>
      <c r="C22" s="41" t="n">
        <v>20</v>
      </c>
    </row>
    <row r="23" customFormat="false" ht="15" hidden="false" customHeight="false" outlineLevel="0" collapsed="false">
      <c r="B23" s="15" t="s">
        <v>217</v>
      </c>
      <c r="C23" s="37" t="n">
        <f aca="false">C21-C19</f>
        <v>4.4125</v>
      </c>
    </row>
    <row r="24" customFormat="false" ht="15" hidden="false" customHeight="false" outlineLevel="0" collapsed="false">
      <c r="B24" s="15" t="s">
        <v>218</v>
      </c>
      <c r="C24" s="27" t="str">
        <f aca="false">IF(C19&lt;=C22,"PASS with margin",IF(C19&lt;=C21,"PASS - tight","FAIL - over limit"))</f>
        <v>PASS with margin</v>
      </c>
    </row>
    <row r="26" customFormat="false" ht="15" hidden="false" customHeight="false" outlineLevel="0" collapsed="false">
      <c r="A26" s="19" t="s">
        <v>219</v>
      </c>
    </row>
    <row r="27" customFormat="false" ht="15" hidden="false" customHeight="false" outlineLevel="0" collapsed="false">
      <c r="A27" s="2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5"/>
    <col collapsed="false" customWidth="true" hidden="false" outlineLevel="0" max="4" min="4" style="0" width="62"/>
    <col collapsed="false" customWidth="true" hidden="false" outlineLevel="0" max="7" min="5" style="0" width="15"/>
  </cols>
  <sheetData>
    <row r="1" customFormat="false" ht="19.5" hidden="false" customHeight="true" outlineLevel="0" collapsed="false">
      <c r="A1" s="1" t="s">
        <v>221</v>
      </c>
    </row>
    <row r="2" customFormat="false" ht="15" hidden="false" customHeight="false" outlineLevel="0" collapsed="false">
      <c r="A2" s="2" t="s">
        <v>222</v>
      </c>
    </row>
    <row r="4" customFormat="false" ht="15" hidden="false" customHeight="false" outlineLevel="0" collapsed="false">
      <c r="A4" s="20" t="s">
        <v>223</v>
      </c>
    </row>
    <row r="5" customFormat="false" ht="15" hidden="false" customHeight="false" outlineLevel="0" collapsed="false">
      <c r="A5" s="2" t="s">
        <v>224</v>
      </c>
    </row>
    <row r="7" customFormat="false" ht="15" hidden="false" customHeight="false" outlineLevel="0" collapsed="false">
      <c r="A7" s="24" t="s">
        <v>225</v>
      </c>
      <c r="C7" s="42" t="n">
        <v>85</v>
      </c>
    </row>
    <row r="8" customFormat="false" ht="15" hidden="false" customHeight="false" outlineLevel="0" collapsed="false">
      <c r="A8" s="24" t="s">
        <v>226</v>
      </c>
      <c r="C8" s="42" t="n">
        <v>45</v>
      </c>
    </row>
    <row r="9" customFormat="false" ht="15" hidden="false" customHeight="false" outlineLevel="0" collapsed="false">
      <c r="A9" s="24" t="s">
        <v>227</v>
      </c>
      <c r="C9" s="42" t="n">
        <v>28</v>
      </c>
    </row>
    <row r="11" customFormat="false" ht="15" hidden="false" customHeight="false" outlineLevel="0" collapsed="false">
      <c r="A11" s="26" t="s">
        <v>228</v>
      </c>
      <c r="C11" s="43" t="n">
        <f aca="false">C7+C8+C9</f>
        <v>158</v>
      </c>
    </row>
    <row r="12" customFormat="false" ht="15" hidden="false" customHeight="false" outlineLevel="0" collapsed="false">
      <c r="A12" s="24" t="s">
        <v>229</v>
      </c>
      <c r="C12" s="29" t="n">
        <f aca="false">158</f>
        <v>158</v>
      </c>
    </row>
    <row r="13" customFormat="false" ht="15" hidden="false" customHeight="false" outlineLevel="0" collapsed="false">
      <c r="A13" s="24" t="s">
        <v>230</v>
      </c>
      <c r="C13" s="29" t="n">
        <f aca="false">C12-C11</f>
        <v>0</v>
      </c>
    </row>
    <row r="14" customFormat="false" ht="15" hidden="false" customHeight="false" outlineLevel="0" collapsed="false">
      <c r="A14" s="26" t="s">
        <v>218</v>
      </c>
      <c r="C14" s="30" t="str">
        <f aca="false">IF(C11&lt;=158,"PASS","FAIL - over limit")</f>
        <v>PASS</v>
      </c>
    </row>
    <row r="15" customFormat="false" ht="15" hidden="false" customHeight="false" outlineLevel="0" collapsed="false">
      <c r="A15" s="24" t="s">
        <v>231</v>
      </c>
      <c r="C15" s="29" t="n">
        <f aca="false">C7-4</f>
        <v>81</v>
      </c>
    </row>
    <row r="16" customFormat="false" ht="15" hidden="false" customHeight="false" outlineLevel="0" collapsed="false">
      <c r="A16" s="24" t="s">
        <v>232</v>
      </c>
      <c r="C16" s="29" t="n">
        <f aca="false">SQRT((C7-4)^2+(C8-4)^2+(C9-4)^2)</f>
        <v>93.9042065085478</v>
      </c>
    </row>
    <row r="19" customFormat="false" ht="15" hidden="false" customHeight="false" outlineLevel="0" collapsed="false">
      <c r="A19" s="20" t="s">
        <v>233</v>
      </c>
    </row>
    <row r="20" customFormat="false" ht="18" hidden="false" customHeight="true" outlineLevel="0" collapsed="false">
      <c r="A20" s="3" t="s">
        <v>234</v>
      </c>
      <c r="B20" s="3" t="s">
        <v>235</v>
      </c>
      <c r="C20" s="3" t="s">
        <v>236</v>
      </c>
      <c r="D20" s="3" t="s">
        <v>237</v>
      </c>
    </row>
    <row r="21" customFormat="false" ht="15" hidden="false" customHeight="false" outlineLevel="0" collapsed="false">
      <c r="A21" s="7" t="s">
        <v>238</v>
      </c>
      <c r="B21" s="7" t="n">
        <v>158</v>
      </c>
      <c r="C21" s="7" t="s">
        <v>239</v>
      </c>
      <c r="D21" s="6" t="s">
        <v>240</v>
      </c>
    </row>
    <row r="22" customFormat="false" ht="15" hidden="false" customHeight="false" outlineLevel="0" collapsed="false">
      <c r="A22" s="11" t="s">
        <v>241</v>
      </c>
      <c r="B22" s="11" t="n">
        <v>158</v>
      </c>
      <c r="C22" s="11" t="s">
        <v>242</v>
      </c>
      <c r="D22" s="10" t="s">
        <v>243</v>
      </c>
    </row>
    <row r="23" customFormat="false" ht="15" hidden="false" customHeight="false" outlineLevel="0" collapsed="false">
      <c r="A23" s="7" t="s">
        <v>244</v>
      </c>
      <c r="B23" s="7" t="n">
        <v>157</v>
      </c>
      <c r="C23" s="7" t="s">
        <v>245</v>
      </c>
      <c r="D23" s="6" t="s">
        <v>246</v>
      </c>
    </row>
    <row r="24" customFormat="false" ht="15" hidden="false" customHeight="false" outlineLevel="0" collapsed="false">
      <c r="A24" s="11" t="s">
        <v>247</v>
      </c>
      <c r="B24" s="11" t="n">
        <v>158</v>
      </c>
      <c r="C24" s="11" t="s">
        <v>248</v>
      </c>
      <c r="D24" s="10" t="s">
        <v>249</v>
      </c>
    </row>
    <row r="27" customFormat="false" ht="15" hidden="false" customHeight="false" outlineLevel="0" collapsed="false">
      <c r="A27" s="20" t="s">
        <v>250</v>
      </c>
    </row>
    <row r="28" customFormat="false" ht="30" hidden="false" customHeight="true" outlineLevel="0" collapsed="false">
      <c r="A28" s="3" t="s">
        <v>251</v>
      </c>
      <c r="B28" s="3" t="s">
        <v>252</v>
      </c>
      <c r="C28" s="3" t="s">
        <v>253</v>
      </c>
      <c r="D28" s="3" t="s">
        <v>254</v>
      </c>
      <c r="E28" s="3" t="s">
        <v>255</v>
      </c>
      <c r="F28" s="3" t="s">
        <v>256</v>
      </c>
      <c r="G28" s="3" t="s">
        <v>257</v>
      </c>
    </row>
    <row r="29" customFormat="false" ht="15" hidden="false" customHeight="false" outlineLevel="0" collapsed="false">
      <c r="A29" s="31" t="s">
        <v>258</v>
      </c>
      <c r="B29" s="44" t="n">
        <v>1</v>
      </c>
      <c r="C29" s="44" t="n">
        <v>22</v>
      </c>
      <c r="D29" s="34" t="n">
        <v>1.1</v>
      </c>
      <c r="E29" s="33" t="n">
        <f aca="false">B29*D29</f>
        <v>1.1</v>
      </c>
      <c r="F29" s="7" t="s">
        <v>259</v>
      </c>
      <c r="G29" s="7" t="s">
        <v>210</v>
      </c>
    </row>
    <row r="30" customFormat="false" ht="15" hidden="false" customHeight="false" outlineLevel="0" collapsed="false">
      <c r="A30" s="32" t="s">
        <v>260</v>
      </c>
      <c r="B30" s="45" t="n">
        <v>4</v>
      </c>
      <c r="C30" s="45" t="n">
        <v>20</v>
      </c>
      <c r="D30" s="36" t="n">
        <v>0.18</v>
      </c>
      <c r="E30" s="35" t="n">
        <f aca="false">B30*D30</f>
        <v>0.72</v>
      </c>
      <c r="F30" s="11" t="s">
        <v>261</v>
      </c>
      <c r="G30" s="11" t="s">
        <v>210</v>
      </c>
    </row>
    <row r="31" customFormat="false" ht="15" hidden="false" customHeight="false" outlineLevel="0" collapsed="false">
      <c r="A31" s="31" t="s">
        <v>262</v>
      </c>
      <c r="B31" s="44" t="n">
        <v>4</v>
      </c>
      <c r="C31" s="44" t="n">
        <v>15</v>
      </c>
      <c r="D31" s="34" t="n">
        <v>0.4</v>
      </c>
      <c r="E31" s="33" t="n">
        <f aca="false">B31*D31</f>
        <v>1.6</v>
      </c>
      <c r="F31" s="7" t="s">
        <v>263</v>
      </c>
      <c r="G31" s="7" t="s">
        <v>210</v>
      </c>
    </row>
    <row r="32" customFormat="false" ht="15" hidden="false" customHeight="false" outlineLevel="0" collapsed="false">
      <c r="A32" s="32" t="s">
        <v>264</v>
      </c>
      <c r="B32" s="45" t="n">
        <v>2</v>
      </c>
      <c r="C32" s="45" t="n">
        <v>45</v>
      </c>
      <c r="D32" s="36" t="n">
        <v>0.6</v>
      </c>
      <c r="E32" s="35" t="n">
        <f aca="false">B32*D32</f>
        <v>1.2</v>
      </c>
      <c r="F32" s="11" t="s">
        <v>265</v>
      </c>
      <c r="G32" s="11" t="s">
        <v>210</v>
      </c>
    </row>
    <row r="33" customFormat="false" ht="15" hidden="false" customHeight="false" outlineLevel="0" collapsed="false">
      <c r="A33" s="31" t="s">
        <v>266</v>
      </c>
      <c r="B33" s="44" t="n">
        <v>3</v>
      </c>
      <c r="C33" s="44" t="n">
        <v>50</v>
      </c>
      <c r="D33" s="34" t="n">
        <v>0.55</v>
      </c>
      <c r="E33" s="33" t="n">
        <f aca="false">B33*D33</f>
        <v>1.65</v>
      </c>
      <c r="F33" s="7" t="s">
        <v>267</v>
      </c>
      <c r="G33" s="7" t="s">
        <v>210</v>
      </c>
    </row>
    <row r="34" customFormat="false" ht="15" hidden="false" customHeight="false" outlineLevel="0" collapsed="false">
      <c r="A34" s="32" t="s">
        <v>268</v>
      </c>
      <c r="B34" s="45" t="n">
        <v>3</v>
      </c>
      <c r="C34" s="45" t="n">
        <v>12</v>
      </c>
      <c r="D34" s="36" t="n">
        <v>0.1</v>
      </c>
      <c r="E34" s="35" t="n">
        <f aca="false">B34*D34</f>
        <v>0.3</v>
      </c>
      <c r="F34" s="11" t="s">
        <v>269</v>
      </c>
      <c r="G34" s="11" t="s">
        <v>210</v>
      </c>
    </row>
    <row r="35" customFormat="false" ht="15" hidden="false" customHeight="false" outlineLevel="0" collapsed="false">
      <c r="A35" s="31" t="s">
        <v>270</v>
      </c>
      <c r="B35" s="44" t="n">
        <v>1</v>
      </c>
      <c r="C35" s="44" t="n">
        <v>25</v>
      </c>
      <c r="D35" s="34" t="n">
        <v>1.5</v>
      </c>
      <c r="E35" s="33" t="n">
        <f aca="false">B35*D35</f>
        <v>1.5</v>
      </c>
      <c r="F35" s="7" t="s">
        <v>271</v>
      </c>
      <c r="G35" s="7" t="s">
        <v>210</v>
      </c>
    </row>
    <row r="36" customFormat="false" ht="15" hidden="false" customHeight="false" outlineLevel="0" collapsed="false">
      <c r="A36" s="32" t="s">
        <v>272</v>
      </c>
      <c r="B36" s="45" t="n">
        <v>1</v>
      </c>
      <c r="C36" s="45" t="n">
        <v>20</v>
      </c>
      <c r="D36" s="36" t="n">
        <v>0.4</v>
      </c>
      <c r="E36" s="35" t="n">
        <f aca="false">B36*D36</f>
        <v>0.4</v>
      </c>
      <c r="F36" s="11" t="s">
        <v>273</v>
      </c>
      <c r="G36" s="11" t="s">
        <v>210</v>
      </c>
    </row>
    <row r="37" customFormat="false" ht="15" hidden="false" customHeight="false" outlineLevel="0" collapsed="false">
      <c r="A37" s="31" t="s">
        <v>274</v>
      </c>
      <c r="B37" s="44" t="n">
        <v>1</v>
      </c>
      <c r="C37" s="44" t="n">
        <v>15</v>
      </c>
      <c r="D37" s="34" t="n">
        <v>0.2</v>
      </c>
      <c r="E37" s="33" t="n">
        <f aca="false">B37*D37</f>
        <v>0.2</v>
      </c>
      <c r="F37" s="7" t="s">
        <v>275</v>
      </c>
      <c r="G37" s="7" t="s">
        <v>210</v>
      </c>
    </row>
    <row r="38" customFormat="false" ht="15" hidden="false" customHeight="false" outlineLevel="0" collapsed="false">
      <c r="A38" s="32" t="s">
        <v>276</v>
      </c>
      <c r="B38" s="45" t="n">
        <v>1</v>
      </c>
      <c r="C38" s="45" t="n">
        <v>20</v>
      </c>
      <c r="D38" s="36" t="n">
        <v>0.8</v>
      </c>
      <c r="E38" s="35" t="n">
        <f aca="false">B38*D38</f>
        <v>0.8</v>
      </c>
      <c r="F38" s="11" t="s">
        <v>277</v>
      </c>
      <c r="G38" s="11" t="s">
        <v>210</v>
      </c>
    </row>
    <row r="39" customFormat="false" ht="15" hidden="false" customHeight="false" outlineLevel="0" collapsed="false">
      <c r="A39" s="31" t="s">
        <v>278</v>
      </c>
      <c r="B39" s="44" t="n">
        <v>1</v>
      </c>
      <c r="C39" s="44" t="n">
        <v>30</v>
      </c>
      <c r="D39" s="34" t="n">
        <v>0.05</v>
      </c>
      <c r="E39" s="33" t="n">
        <f aca="false">B39*D39</f>
        <v>0.05</v>
      </c>
      <c r="F39" s="7" t="s">
        <v>279</v>
      </c>
      <c r="G39" s="7" t="s">
        <v>210</v>
      </c>
    </row>
    <row r="41" customFormat="false" ht="15" hidden="false" customHeight="false" outlineLevel="0" collapsed="false">
      <c r="D41" s="15" t="s">
        <v>280</v>
      </c>
      <c r="E41" s="37" t="n">
        <f aca="false">SUM(E29:E39)</f>
        <v>9.52</v>
      </c>
    </row>
    <row r="42" customFormat="false" ht="15" hidden="false" customHeight="false" outlineLevel="0" collapsed="false">
      <c r="D42" s="15" t="s">
        <v>281</v>
      </c>
      <c r="E42" s="27" t="n">
        <f aca="false">MAX(C29:C39)</f>
        <v>50</v>
      </c>
    </row>
    <row r="43" customFormat="false" ht="15" hidden="false" customHeight="false" outlineLevel="0" collapsed="false">
      <c r="D43" s="15" t="s">
        <v>282</v>
      </c>
      <c r="E43" s="27" t="str">
        <f aca="false">IF(E42&lt;=C15,"YES","NO - part is longer than the case interior")</f>
        <v>YES</v>
      </c>
    </row>
    <row r="44" customFormat="false" ht="15" hidden="false" customHeight="false" outlineLevel="0" collapsed="false">
      <c r="D44" s="21" t="s">
        <v>283</v>
      </c>
      <c r="E44" s="22" t="str">
        <f aca="false">COUNTIF(G29:G39,"Yes")&amp;" / "&amp;COUNTA(A29:A39)</f>
        <v>0 / 11</v>
      </c>
    </row>
    <row r="46" customFormat="false" ht="15" hidden="false" customHeight="false" outlineLevel="0" collapsed="false">
      <c r="A46" s="2" t="s">
        <v>284</v>
      </c>
    </row>
  </sheetData>
  <conditionalFormatting sqref="G29:G39">
    <cfRule type="cellIs" priority="2" operator="equal" aboveAverage="0" equalAverage="0" bottom="0" percent="0" rank="0" text="" dxfId="0">
      <formula>"Yes"</formula>
    </cfRule>
  </conditionalFormatting>
  <dataValidations count="1">
    <dataValidation allowBlank="true" errorStyle="stop" operator="between" showDropDown="false" showErrorMessage="false" showInputMessage="false" sqref="G29:G39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7" min="5" style="0" width="10"/>
  </cols>
  <sheetData>
    <row r="1" customFormat="false" ht="19.5" hidden="false" customHeight="true" outlineLevel="0" collapsed="false">
      <c r="A1" s="1" t="s">
        <v>285</v>
      </c>
    </row>
    <row r="2" customFormat="false" ht="15" hidden="false" customHeight="false" outlineLevel="0" collapsed="false">
      <c r="A2" s="2" t="s">
        <v>286</v>
      </c>
    </row>
    <row r="4" customFormat="false" ht="25.5" hidden="false" customHeight="true" outlineLevel="0" collapsed="false">
      <c r="A4" s="3" t="s">
        <v>287</v>
      </c>
      <c r="B4" s="3" t="s">
        <v>288</v>
      </c>
      <c r="C4" s="3" t="s">
        <v>4</v>
      </c>
      <c r="D4" s="3" t="s">
        <v>252</v>
      </c>
      <c r="E4" s="3" t="s">
        <v>289</v>
      </c>
      <c r="F4" s="3" t="s">
        <v>290</v>
      </c>
      <c r="G4" s="3" t="s">
        <v>291</v>
      </c>
    </row>
    <row r="5" customFormat="false" ht="23.85" hidden="false" customHeight="false" outlineLevel="0" collapsed="false">
      <c r="A5" s="31" t="s">
        <v>32</v>
      </c>
      <c r="B5" s="6" t="s">
        <v>292</v>
      </c>
      <c r="C5" s="7" t="n">
        <v>1</v>
      </c>
      <c r="D5" s="44" t="n">
        <v>1</v>
      </c>
      <c r="E5" s="46" t="n">
        <v>110</v>
      </c>
      <c r="F5" s="47" t="n">
        <f aca="false">D5*E5</f>
        <v>110</v>
      </c>
      <c r="G5" s="7" t="s">
        <v>293</v>
      </c>
    </row>
    <row r="6" customFormat="false" ht="15" hidden="false" customHeight="false" outlineLevel="0" collapsed="false">
      <c r="A6" s="32" t="s">
        <v>32</v>
      </c>
      <c r="B6" s="10" t="s">
        <v>294</v>
      </c>
      <c r="C6" s="11" t="n">
        <v>1</v>
      </c>
      <c r="D6" s="45" t="n">
        <v>1</v>
      </c>
      <c r="E6" s="48" t="n">
        <v>80</v>
      </c>
      <c r="F6" s="49" t="n">
        <f aca="false">D6*E6</f>
        <v>80</v>
      </c>
      <c r="G6" s="11" t="s">
        <v>210</v>
      </c>
    </row>
    <row r="7" customFormat="false" ht="15" hidden="false" customHeight="false" outlineLevel="0" collapsed="false">
      <c r="A7" s="31" t="s">
        <v>32</v>
      </c>
      <c r="B7" s="6" t="s">
        <v>295</v>
      </c>
      <c r="C7" s="7" t="n">
        <v>1</v>
      </c>
      <c r="D7" s="44" t="n">
        <v>1</v>
      </c>
      <c r="E7" s="46" t="n">
        <v>20</v>
      </c>
      <c r="F7" s="47" t="n">
        <f aca="false">D7*E7</f>
        <v>20</v>
      </c>
      <c r="G7" s="7" t="s">
        <v>210</v>
      </c>
    </row>
    <row r="8" customFormat="false" ht="15" hidden="false" customHeight="false" outlineLevel="0" collapsed="false">
      <c r="A8" s="32" t="s">
        <v>208</v>
      </c>
      <c r="B8" s="10" t="s">
        <v>296</v>
      </c>
      <c r="C8" s="11" t="n">
        <v>1</v>
      </c>
      <c r="D8" s="45" t="n">
        <v>1</v>
      </c>
      <c r="E8" s="48" t="n">
        <v>40</v>
      </c>
      <c r="F8" s="49" t="n">
        <f aca="false">D8*E8</f>
        <v>40</v>
      </c>
      <c r="G8" s="11" t="s">
        <v>297</v>
      </c>
    </row>
    <row r="9" customFormat="false" ht="15" hidden="false" customHeight="false" outlineLevel="0" collapsed="false">
      <c r="A9" s="31" t="s">
        <v>298</v>
      </c>
      <c r="B9" s="6" t="s">
        <v>299</v>
      </c>
      <c r="C9" s="7" t="n">
        <v>2</v>
      </c>
      <c r="D9" s="44" t="n">
        <v>1</v>
      </c>
      <c r="E9" s="46" t="n">
        <v>90</v>
      </c>
      <c r="F9" s="47" t="n">
        <f aca="false">D9*E9</f>
        <v>90</v>
      </c>
      <c r="G9" s="7" t="s">
        <v>210</v>
      </c>
    </row>
    <row r="10" customFormat="false" ht="15" hidden="false" customHeight="false" outlineLevel="0" collapsed="false">
      <c r="A10" s="32" t="s">
        <v>298</v>
      </c>
      <c r="B10" s="10" t="s">
        <v>300</v>
      </c>
      <c r="C10" s="11" t="n">
        <v>2</v>
      </c>
      <c r="D10" s="45" t="n">
        <v>1</v>
      </c>
      <c r="E10" s="48" t="n">
        <v>55</v>
      </c>
      <c r="F10" s="49" t="n">
        <f aca="false">D10*E10</f>
        <v>55</v>
      </c>
      <c r="G10" s="11" t="s">
        <v>210</v>
      </c>
    </row>
    <row r="11" customFormat="false" ht="15" hidden="false" customHeight="false" outlineLevel="0" collapsed="false">
      <c r="A11" s="31" t="s">
        <v>298</v>
      </c>
      <c r="B11" s="6" t="s">
        <v>301</v>
      </c>
      <c r="C11" s="7" t="n">
        <v>2</v>
      </c>
      <c r="D11" s="44" t="n">
        <v>1</v>
      </c>
      <c r="E11" s="46" t="n">
        <v>45</v>
      </c>
      <c r="F11" s="47" t="n">
        <f aca="false">D11*E11</f>
        <v>45</v>
      </c>
      <c r="G11" s="7" t="s">
        <v>302</v>
      </c>
    </row>
    <row r="12" customFormat="false" ht="15" hidden="false" customHeight="false" outlineLevel="0" collapsed="false">
      <c r="A12" s="32" t="s">
        <v>88</v>
      </c>
      <c r="B12" s="10" t="s">
        <v>303</v>
      </c>
      <c r="C12" s="11" t="n">
        <v>3</v>
      </c>
      <c r="D12" s="45" t="n">
        <v>4</v>
      </c>
      <c r="E12" s="48" t="n">
        <v>22</v>
      </c>
      <c r="F12" s="49" t="n">
        <f aca="false">D12*E12</f>
        <v>88</v>
      </c>
      <c r="G12" s="11" t="s">
        <v>210</v>
      </c>
    </row>
    <row r="13" customFormat="false" ht="15" hidden="false" customHeight="false" outlineLevel="0" collapsed="false">
      <c r="A13" s="31" t="s">
        <v>88</v>
      </c>
      <c r="B13" s="6" t="s">
        <v>304</v>
      </c>
      <c r="C13" s="7" t="n">
        <v>3</v>
      </c>
      <c r="D13" s="44" t="n">
        <v>16</v>
      </c>
      <c r="E13" s="46" t="n">
        <v>1.5</v>
      </c>
      <c r="F13" s="47" t="n">
        <f aca="false">D13*E13</f>
        <v>24</v>
      </c>
      <c r="G13" s="7" t="s">
        <v>210</v>
      </c>
    </row>
    <row r="14" customFormat="false" ht="15" hidden="false" customHeight="false" outlineLevel="0" collapsed="false">
      <c r="A14" s="32" t="s">
        <v>88</v>
      </c>
      <c r="B14" s="10" t="s">
        <v>305</v>
      </c>
      <c r="C14" s="11" t="n">
        <v>3</v>
      </c>
      <c r="D14" s="45" t="n">
        <v>4</v>
      </c>
      <c r="E14" s="48" t="n">
        <v>9.5</v>
      </c>
      <c r="F14" s="49" t="n">
        <f aca="false">D14*E14</f>
        <v>38</v>
      </c>
      <c r="G14" s="11" t="s">
        <v>210</v>
      </c>
    </row>
    <row r="15" customFormat="false" ht="15" hidden="false" customHeight="false" outlineLevel="0" collapsed="false">
      <c r="A15" s="31" t="s">
        <v>306</v>
      </c>
      <c r="B15" s="6" t="s">
        <v>307</v>
      </c>
      <c r="C15" s="7" t="n">
        <v>3</v>
      </c>
      <c r="D15" s="44" t="n">
        <v>1</v>
      </c>
      <c r="E15" s="46" t="n">
        <v>20</v>
      </c>
      <c r="F15" s="47" t="n">
        <f aca="false">D15*E15</f>
        <v>20</v>
      </c>
      <c r="G15" s="7" t="s">
        <v>210</v>
      </c>
    </row>
    <row r="16" customFormat="false" ht="15" hidden="false" customHeight="false" outlineLevel="0" collapsed="false">
      <c r="A16" s="32" t="s">
        <v>306</v>
      </c>
      <c r="B16" s="10" t="s">
        <v>308</v>
      </c>
      <c r="C16" s="11" t="n">
        <v>3</v>
      </c>
      <c r="D16" s="45" t="n">
        <v>1</v>
      </c>
      <c r="E16" s="48" t="n">
        <v>35</v>
      </c>
      <c r="F16" s="49" t="n">
        <f aca="false">D16*E16</f>
        <v>35</v>
      </c>
      <c r="G16" s="11" t="s">
        <v>210</v>
      </c>
    </row>
    <row r="17" customFormat="false" ht="15" hidden="false" customHeight="false" outlineLevel="0" collapsed="false">
      <c r="A17" s="31" t="s">
        <v>306</v>
      </c>
      <c r="B17" s="6" t="s">
        <v>309</v>
      </c>
      <c r="C17" s="7" t="n">
        <v>3</v>
      </c>
      <c r="D17" s="44" t="n">
        <v>1</v>
      </c>
      <c r="E17" s="46" t="n">
        <v>25</v>
      </c>
      <c r="F17" s="47" t="n">
        <f aca="false">D17*E17</f>
        <v>25</v>
      </c>
      <c r="G17" s="7" t="s">
        <v>210</v>
      </c>
    </row>
    <row r="18" customFormat="false" ht="15" hidden="false" customHeight="false" outlineLevel="0" collapsed="false">
      <c r="A18" s="32" t="s">
        <v>310</v>
      </c>
      <c r="B18" s="10" t="s">
        <v>311</v>
      </c>
      <c r="C18" s="11" t="n">
        <v>1</v>
      </c>
      <c r="D18" s="45" t="n">
        <v>1</v>
      </c>
      <c r="E18" s="48" t="n">
        <v>30</v>
      </c>
      <c r="F18" s="49" t="n">
        <f aca="false">D18*E18</f>
        <v>30</v>
      </c>
      <c r="G18" s="11" t="s">
        <v>302</v>
      </c>
    </row>
    <row r="19" customFormat="false" ht="15" hidden="false" customHeight="false" outlineLevel="0" collapsed="false">
      <c r="A19" s="31" t="s">
        <v>310</v>
      </c>
      <c r="B19" s="6" t="s">
        <v>312</v>
      </c>
      <c r="C19" s="7" t="n">
        <v>1</v>
      </c>
      <c r="D19" s="44" t="n">
        <v>1</v>
      </c>
      <c r="E19" s="46" t="n">
        <v>45</v>
      </c>
      <c r="F19" s="47" t="n">
        <f aca="false">D19*E19</f>
        <v>45</v>
      </c>
      <c r="G19" s="7" t="s">
        <v>210</v>
      </c>
    </row>
    <row r="20" customFormat="false" ht="15" hidden="false" customHeight="false" outlineLevel="0" collapsed="false">
      <c r="A20" s="32" t="s">
        <v>310</v>
      </c>
      <c r="B20" s="10" t="s">
        <v>313</v>
      </c>
      <c r="C20" s="11" t="n">
        <v>1</v>
      </c>
      <c r="D20" s="45" t="n">
        <v>1</v>
      </c>
      <c r="E20" s="48" t="n">
        <v>35</v>
      </c>
      <c r="F20" s="49" t="n">
        <f aca="false">D20*E20</f>
        <v>35</v>
      </c>
      <c r="G20" s="11" t="s">
        <v>210</v>
      </c>
    </row>
    <row r="21" customFormat="false" ht="15" hidden="false" customHeight="false" outlineLevel="0" collapsed="false">
      <c r="A21" s="31" t="s">
        <v>200</v>
      </c>
      <c r="B21" s="6" t="s">
        <v>314</v>
      </c>
      <c r="C21" s="7" t="n">
        <v>4</v>
      </c>
      <c r="D21" s="44" t="n">
        <v>1</v>
      </c>
      <c r="E21" s="46" t="n">
        <v>60</v>
      </c>
      <c r="F21" s="47" t="n">
        <f aca="false">D21*E21</f>
        <v>60</v>
      </c>
      <c r="G21" s="7" t="s">
        <v>210</v>
      </c>
    </row>
    <row r="22" customFormat="false" ht="15" hidden="false" customHeight="false" outlineLevel="0" collapsed="false">
      <c r="A22" s="32" t="s">
        <v>200</v>
      </c>
      <c r="B22" s="10" t="s">
        <v>315</v>
      </c>
      <c r="C22" s="11" t="n">
        <v>4</v>
      </c>
      <c r="D22" s="45" t="n">
        <v>1</v>
      </c>
      <c r="E22" s="48" t="n">
        <v>40</v>
      </c>
      <c r="F22" s="49" t="n">
        <f aca="false">D22*E22</f>
        <v>40</v>
      </c>
      <c r="G22" s="11" t="s">
        <v>210</v>
      </c>
    </row>
    <row r="23" customFormat="false" ht="15" hidden="false" customHeight="false" outlineLevel="0" collapsed="false">
      <c r="A23" s="31" t="s">
        <v>119</v>
      </c>
      <c r="B23" s="6" t="s">
        <v>316</v>
      </c>
      <c r="C23" s="7" t="n">
        <v>4</v>
      </c>
      <c r="D23" s="44" t="n">
        <v>1</v>
      </c>
      <c r="E23" s="46" t="n">
        <v>55</v>
      </c>
      <c r="F23" s="47" t="n">
        <f aca="false">D23*E23</f>
        <v>55</v>
      </c>
      <c r="G23" s="7" t="s">
        <v>210</v>
      </c>
    </row>
    <row r="24" customFormat="false" ht="15" hidden="false" customHeight="false" outlineLevel="0" collapsed="false">
      <c r="A24" s="32" t="s">
        <v>119</v>
      </c>
      <c r="B24" s="10" t="s">
        <v>317</v>
      </c>
      <c r="C24" s="11" t="n">
        <v>4</v>
      </c>
      <c r="D24" s="45" t="n">
        <v>1</v>
      </c>
      <c r="E24" s="48" t="n">
        <v>35</v>
      </c>
      <c r="F24" s="49" t="n">
        <f aca="false">D24*E24</f>
        <v>35</v>
      </c>
      <c r="G24" s="11" t="s">
        <v>210</v>
      </c>
    </row>
    <row r="25" customFormat="false" ht="15" hidden="false" customHeight="false" outlineLevel="0" collapsed="false">
      <c r="A25" s="31" t="s">
        <v>127</v>
      </c>
      <c r="B25" s="6" t="s">
        <v>203</v>
      </c>
      <c r="C25" s="7" t="n">
        <v>4</v>
      </c>
      <c r="D25" s="44" t="n">
        <v>1</v>
      </c>
      <c r="E25" s="46" t="n">
        <v>50</v>
      </c>
      <c r="F25" s="47" t="n">
        <f aca="false">D25*E25</f>
        <v>50</v>
      </c>
      <c r="G25" s="7" t="s">
        <v>210</v>
      </c>
    </row>
    <row r="27" customFormat="false" ht="15" hidden="false" customHeight="false" outlineLevel="0" collapsed="false">
      <c r="E27" s="15" t="s">
        <v>318</v>
      </c>
      <c r="F27" s="50" t="n">
        <f aca="false">SUM(F5:F25)</f>
        <v>1020</v>
      </c>
    </row>
    <row r="28" customFormat="false" ht="15" hidden="false" customHeight="false" outlineLevel="0" collapsed="false">
      <c r="E28" s="21" t="s">
        <v>319</v>
      </c>
      <c r="F28" s="51" t="n">
        <f aca="false">SUMIF(G5:G25,"Likely",F5:F25)</f>
        <v>110</v>
      </c>
    </row>
    <row r="29" customFormat="false" ht="15" hidden="false" customHeight="false" outlineLevel="0" collapsed="false">
      <c r="E29" s="15" t="s">
        <v>320</v>
      </c>
      <c r="F29" s="50" t="n">
        <f aca="false">F27-F28</f>
        <v>910</v>
      </c>
    </row>
    <row r="31" customFormat="false" ht="15" hidden="false" customHeight="false" outlineLevel="0" collapsed="false">
      <c r="E31" s="21" t="s">
        <v>321</v>
      </c>
      <c r="F31" s="51" t="n">
        <f aca="false">SUMIF(C5:C25,1,F5:F25)</f>
        <v>360</v>
      </c>
    </row>
    <row r="32" customFormat="false" ht="15" hidden="false" customHeight="false" outlineLevel="0" collapsed="false">
      <c r="E32" s="21" t="s">
        <v>322</v>
      </c>
      <c r="F32" s="51" t="n">
        <f aca="false">SUMIF(C5:C25,2,F5:F25)</f>
        <v>190</v>
      </c>
    </row>
    <row r="33" customFormat="false" ht="15" hidden="false" customHeight="false" outlineLevel="0" collapsed="false">
      <c r="E33" s="21" t="s">
        <v>323</v>
      </c>
      <c r="F33" s="51" t="n">
        <f aca="false">SUMIF(C5:C25,3,F5:F25)</f>
        <v>230</v>
      </c>
    </row>
    <row r="34" customFormat="false" ht="15" hidden="false" customHeight="false" outlineLevel="0" collapsed="false">
      <c r="E34" s="21" t="s">
        <v>324</v>
      </c>
      <c r="F34" s="51" t="n">
        <f aca="false">SUMIF(C5:C25,4,F5:F25)</f>
        <v>240</v>
      </c>
    </row>
    <row r="36" customFormat="false" ht="15" hidden="false" customHeight="false" outlineLevel="0" collapsed="false">
      <c r="E36" s="15" t="s">
        <v>325</v>
      </c>
      <c r="F36" s="50" t="n">
        <f aca="false">F31+F32</f>
        <v>550</v>
      </c>
    </row>
    <row r="37" customFormat="false" ht="15" hidden="false" customHeight="false" outlineLevel="0" collapsed="false">
      <c r="E37" s="15" t="s">
        <v>326</v>
      </c>
      <c r="F37" s="50" t="n">
        <f aca="false">F33+F34</f>
        <v>470</v>
      </c>
    </row>
    <row r="40" customFormat="false" ht="15" hidden="false" customHeight="false" outlineLevel="0" collapsed="false">
      <c r="A40" s="19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4" min="3" style="0" width="7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58"/>
    <col collapsed="false" customWidth="true" hidden="false" outlineLevel="0" max="8" min="8" style="0" width="12"/>
  </cols>
  <sheetData>
    <row r="1" customFormat="false" ht="19.5" hidden="false" customHeight="true" outlineLevel="0" collapsed="false">
      <c r="A1" s="1" t="s">
        <v>328</v>
      </c>
    </row>
    <row r="2" customFormat="false" ht="15" hidden="false" customHeight="false" outlineLevel="0" collapsed="false">
      <c r="A2" s="2" t="s">
        <v>329</v>
      </c>
    </row>
    <row r="4" customFormat="false" ht="30" hidden="false" customHeight="true" outlineLevel="0" collapsed="false">
      <c r="A4" s="3" t="s">
        <v>330</v>
      </c>
      <c r="B4" s="3" t="s">
        <v>10</v>
      </c>
      <c r="C4" s="3" t="s">
        <v>331</v>
      </c>
      <c r="D4" s="3" t="s">
        <v>332</v>
      </c>
      <c r="E4" s="3" t="s">
        <v>333</v>
      </c>
      <c r="F4" s="3" t="s">
        <v>334</v>
      </c>
      <c r="G4" s="3" t="s">
        <v>335</v>
      </c>
      <c r="H4" s="3" t="s">
        <v>336</v>
      </c>
    </row>
    <row r="5" customFormat="false" ht="23.85" hidden="false" customHeight="false" outlineLevel="0" collapsed="false">
      <c r="A5" s="4" t="s">
        <v>33</v>
      </c>
      <c r="B5" s="6" t="s">
        <v>337</v>
      </c>
      <c r="C5" s="44" t="n">
        <v>5</v>
      </c>
      <c r="D5" s="44" t="n">
        <v>4</v>
      </c>
      <c r="E5" s="7" t="n">
        <f aca="false">C5*D5</f>
        <v>20</v>
      </c>
      <c r="F5" s="7" t="str">
        <f aca="false">IF(E5&gt;=15,"Critical",IF(E5&gt;=9,"High",IF(E5&gt;=4,"Medium","Low")))</f>
        <v>Critical</v>
      </c>
      <c r="G5" s="6" t="s">
        <v>338</v>
      </c>
      <c r="H5" s="7" t="s">
        <v>339</v>
      </c>
    </row>
    <row r="6" customFormat="false" ht="35.05" hidden="false" customHeight="false" outlineLevel="0" collapsed="false">
      <c r="A6" s="8" t="s">
        <v>340</v>
      </c>
      <c r="B6" s="10" t="s">
        <v>341</v>
      </c>
      <c r="C6" s="45" t="n">
        <v>5</v>
      </c>
      <c r="D6" s="45" t="n">
        <v>4</v>
      </c>
      <c r="E6" s="11" t="n">
        <f aca="false">C6*D6</f>
        <v>20</v>
      </c>
      <c r="F6" s="11" t="str">
        <f aca="false">IF(E6&gt;=15,"Critical",IF(E6&gt;=9,"High",IF(E6&gt;=4,"Medium","Low")))</f>
        <v>Critical</v>
      </c>
      <c r="G6" s="10" t="s">
        <v>342</v>
      </c>
      <c r="H6" s="11" t="s">
        <v>343</v>
      </c>
    </row>
    <row r="7" customFormat="false" ht="23.85" hidden="false" customHeight="false" outlineLevel="0" collapsed="false">
      <c r="A7" s="4" t="s">
        <v>18</v>
      </c>
      <c r="B7" s="6" t="s">
        <v>344</v>
      </c>
      <c r="C7" s="44" t="n">
        <v>4</v>
      </c>
      <c r="D7" s="44" t="n">
        <v>4</v>
      </c>
      <c r="E7" s="7" t="n">
        <f aca="false">C7*D7</f>
        <v>16</v>
      </c>
      <c r="F7" s="7" t="str">
        <f aca="false">IF(E7&gt;=15,"Critical",IF(E7&gt;=9,"High",IF(E7&gt;=4,"Medium","Low")))</f>
        <v>Critical</v>
      </c>
      <c r="G7" s="6" t="s">
        <v>345</v>
      </c>
      <c r="H7" s="7" t="s">
        <v>346</v>
      </c>
    </row>
    <row r="8" customFormat="false" ht="23.85" hidden="false" customHeight="false" outlineLevel="0" collapsed="false">
      <c r="A8" s="8" t="s">
        <v>72</v>
      </c>
      <c r="B8" s="10" t="s">
        <v>347</v>
      </c>
      <c r="C8" s="45" t="n">
        <v>4</v>
      </c>
      <c r="D8" s="45" t="n">
        <v>4</v>
      </c>
      <c r="E8" s="11" t="n">
        <f aca="false">C8*D8</f>
        <v>16</v>
      </c>
      <c r="F8" s="11" t="str">
        <f aca="false">IF(E8&gt;=15,"Critical",IF(E8&gt;=9,"High",IF(E8&gt;=4,"Medium","Low")))</f>
        <v>Critical</v>
      </c>
      <c r="G8" s="10" t="s">
        <v>348</v>
      </c>
      <c r="H8" s="11" t="s">
        <v>349</v>
      </c>
    </row>
    <row r="9" customFormat="false" ht="23.85" hidden="false" customHeight="false" outlineLevel="0" collapsed="false">
      <c r="A9" s="4" t="s">
        <v>48</v>
      </c>
      <c r="B9" s="6" t="s">
        <v>350</v>
      </c>
      <c r="C9" s="44" t="n">
        <v>4</v>
      </c>
      <c r="D9" s="44" t="n">
        <v>4</v>
      </c>
      <c r="E9" s="7" t="n">
        <f aca="false">C9*D9</f>
        <v>16</v>
      </c>
      <c r="F9" s="7" t="str">
        <f aca="false">IF(E9&gt;=15,"Critical",IF(E9&gt;=9,"High",IF(E9&gt;=4,"Medium","Low")))</f>
        <v>Critical</v>
      </c>
      <c r="G9" s="6" t="s">
        <v>351</v>
      </c>
      <c r="H9" s="7" t="s">
        <v>343</v>
      </c>
    </row>
    <row r="10" customFormat="false" ht="23.85" hidden="false" customHeight="false" outlineLevel="0" collapsed="false">
      <c r="A10" s="8" t="s">
        <v>106</v>
      </c>
      <c r="B10" s="10" t="s">
        <v>352</v>
      </c>
      <c r="C10" s="45" t="n">
        <v>4</v>
      </c>
      <c r="D10" s="45" t="n">
        <v>3</v>
      </c>
      <c r="E10" s="11" t="n">
        <f aca="false">C10*D10</f>
        <v>12</v>
      </c>
      <c r="F10" s="11" t="str">
        <f aca="false">IF(E10&gt;=15,"Critical",IF(E10&gt;=9,"High",IF(E10&gt;=4,"Medium","Low")))</f>
        <v>High</v>
      </c>
      <c r="G10" s="10" t="s">
        <v>353</v>
      </c>
      <c r="H10" s="11" t="s">
        <v>354</v>
      </c>
    </row>
    <row r="11" customFormat="false" ht="23.85" hidden="false" customHeight="false" outlineLevel="0" collapsed="false">
      <c r="A11" s="4" t="s">
        <v>355</v>
      </c>
      <c r="B11" s="6" t="s">
        <v>356</v>
      </c>
      <c r="C11" s="44" t="n">
        <v>4</v>
      </c>
      <c r="D11" s="44" t="n">
        <v>3</v>
      </c>
      <c r="E11" s="7" t="n">
        <f aca="false">C11*D11</f>
        <v>12</v>
      </c>
      <c r="F11" s="7" t="str">
        <f aca="false">IF(E11&gt;=15,"Critical",IF(E11&gt;=9,"High",IF(E11&gt;=4,"Medium","Low")))</f>
        <v>High</v>
      </c>
      <c r="G11" s="6" t="s">
        <v>357</v>
      </c>
      <c r="H11" s="7" t="s">
        <v>358</v>
      </c>
    </row>
    <row r="12" customFormat="false" ht="23.85" hidden="false" customHeight="false" outlineLevel="0" collapsed="false">
      <c r="A12" s="8" t="s">
        <v>116</v>
      </c>
      <c r="B12" s="10" t="s">
        <v>359</v>
      </c>
      <c r="C12" s="45" t="n">
        <v>4</v>
      </c>
      <c r="D12" s="45" t="n">
        <v>3</v>
      </c>
      <c r="E12" s="11" t="n">
        <f aca="false">C12*D12</f>
        <v>12</v>
      </c>
      <c r="F12" s="11" t="str">
        <f aca="false">IF(E12&gt;=15,"Critical",IF(E12&gt;=9,"High",IF(E12&gt;=4,"Medium","Low")))</f>
        <v>High</v>
      </c>
      <c r="G12" s="10" t="s">
        <v>360</v>
      </c>
      <c r="H12" s="11" t="s">
        <v>361</v>
      </c>
    </row>
    <row r="13" customFormat="false" ht="23.85" hidden="false" customHeight="false" outlineLevel="0" collapsed="false">
      <c r="A13" s="4" t="s">
        <v>24</v>
      </c>
      <c r="B13" s="6" t="s">
        <v>362</v>
      </c>
      <c r="C13" s="44" t="n">
        <v>3</v>
      </c>
      <c r="D13" s="44" t="n">
        <v>3</v>
      </c>
      <c r="E13" s="7" t="n">
        <f aca="false">C13*D13</f>
        <v>9</v>
      </c>
      <c r="F13" s="7" t="str">
        <f aca="false">IF(E13&gt;=15,"Critical",IF(E13&gt;=9,"High",IF(E13&gt;=4,"Medium","Low")))</f>
        <v>High</v>
      </c>
      <c r="G13" s="6" t="s">
        <v>363</v>
      </c>
      <c r="H13" s="7" t="s">
        <v>364</v>
      </c>
    </row>
    <row r="14" customFormat="false" ht="23.85" hidden="false" customHeight="false" outlineLevel="0" collapsed="false">
      <c r="A14" s="8" t="s">
        <v>39</v>
      </c>
      <c r="B14" s="10" t="s">
        <v>365</v>
      </c>
      <c r="C14" s="45" t="n">
        <v>5</v>
      </c>
      <c r="D14" s="45" t="n">
        <v>2</v>
      </c>
      <c r="E14" s="11" t="n">
        <f aca="false">C14*D14</f>
        <v>10</v>
      </c>
      <c r="F14" s="11" t="str">
        <f aca="false">IF(E14&gt;=15,"Critical",IF(E14&gt;=9,"High",IF(E14&gt;=4,"Medium","Low")))</f>
        <v>High</v>
      </c>
      <c r="G14" s="10" t="s">
        <v>366</v>
      </c>
      <c r="H14" s="11" t="s">
        <v>364</v>
      </c>
    </row>
    <row r="15" customFormat="false" ht="23.85" hidden="false" customHeight="false" outlineLevel="0" collapsed="false">
      <c r="A15" s="4" t="s">
        <v>82</v>
      </c>
      <c r="B15" s="6" t="s">
        <v>367</v>
      </c>
      <c r="C15" s="44" t="n">
        <v>3</v>
      </c>
      <c r="D15" s="44" t="n">
        <v>3</v>
      </c>
      <c r="E15" s="7" t="n">
        <f aca="false">C15*D15</f>
        <v>9</v>
      </c>
      <c r="F15" s="7" t="str">
        <f aca="false">IF(E15&gt;=15,"Critical",IF(E15&gt;=9,"High",IF(E15&gt;=4,"Medium","Low")))</f>
        <v>High</v>
      </c>
      <c r="G15" s="6" t="s">
        <v>368</v>
      </c>
      <c r="H15" s="7" t="s">
        <v>369</v>
      </c>
    </row>
    <row r="16" customFormat="false" ht="23.85" hidden="false" customHeight="false" outlineLevel="0" collapsed="false">
      <c r="A16" s="8" t="s">
        <v>98</v>
      </c>
      <c r="B16" s="10" t="s">
        <v>370</v>
      </c>
      <c r="C16" s="45" t="n">
        <v>2</v>
      </c>
      <c r="D16" s="45" t="n">
        <v>3</v>
      </c>
      <c r="E16" s="11" t="n">
        <f aca="false">C16*D16</f>
        <v>6</v>
      </c>
      <c r="F16" s="11" t="str">
        <f aca="false">IF(E16&gt;=15,"Critical",IF(E16&gt;=9,"High",IF(E16&gt;=4,"Medium","Low")))</f>
        <v>Medium</v>
      </c>
      <c r="G16" s="10" t="s">
        <v>371</v>
      </c>
      <c r="H16" s="11" t="s">
        <v>358</v>
      </c>
    </row>
    <row r="18" customFormat="false" ht="15" hidden="false" customHeight="false" outlineLevel="0" collapsed="false">
      <c r="B18" s="15" t="s">
        <v>372</v>
      </c>
      <c r="E18" s="16" t="n">
        <f aca="false">MAX(E5:E16)</f>
        <v>20</v>
      </c>
    </row>
    <row r="19" customFormat="false" ht="15" hidden="false" customHeight="false" outlineLevel="0" collapsed="false">
      <c r="B19" s="2" t="s">
        <v>373</v>
      </c>
    </row>
  </sheetData>
  <conditionalFormatting sqref="F5:F16">
    <cfRule type="cellIs" priority="2" operator="equal" aboveAverage="0" equalAverage="0" bottom="0" percent="0" rank="0" text="" dxfId="3">
      <formula>"Critical"</formula>
    </cfRule>
    <cfRule type="cellIs" priority="3" operator="equal" aboveAverage="0" equalAverage="0" bottom="0" percent="0" rank="0" text="" dxfId="4">
      <formula>"High"</formula>
    </cfRule>
    <cfRule type="cellIs" priority="4" operator="equal" aboveAverage="0" equalAverage="0" bottom="0" percent="0" rank="0" text="" dxfId="5">
      <formula>"Medium"</formula>
    </cfRule>
    <cfRule type="cellIs" priority="5" operator="equal" aboveAverage="0" equalAverage="0" bottom="0" percent="0" rank="0" text="" dxfId="6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48"/>
  </cols>
  <sheetData>
    <row r="1" customFormat="false" ht="19.5" hidden="false" customHeight="true" outlineLevel="0" collapsed="false">
      <c r="A1" s="1" t="s">
        <v>374</v>
      </c>
    </row>
    <row r="2" customFormat="false" ht="15" hidden="false" customHeight="false" outlineLevel="0" collapsed="false">
      <c r="A2" s="2" t="s">
        <v>375</v>
      </c>
    </row>
    <row r="4" customFormat="false" ht="30" hidden="false" customHeight="true" outlineLevel="0" collapsed="false">
      <c r="A4" s="3" t="s">
        <v>330</v>
      </c>
      <c r="B4" s="3" t="s">
        <v>376</v>
      </c>
      <c r="C4" s="3" t="s">
        <v>377</v>
      </c>
      <c r="D4" s="3" t="s">
        <v>378</v>
      </c>
      <c r="E4" s="3" t="s">
        <v>379</v>
      </c>
      <c r="F4" s="3" t="s">
        <v>9</v>
      </c>
      <c r="G4" s="3" t="s">
        <v>380</v>
      </c>
    </row>
    <row r="5" customFormat="false" ht="15" hidden="false" customHeight="false" outlineLevel="0" collapsed="false">
      <c r="A5" s="4" t="s">
        <v>381</v>
      </c>
      <c r="B5" s="6" t="s">
        <v>382</v>
      </c>
      <c r="C5" s="6" t="s">
        <v>383</v>
      </c>
      <c r="D5" s="44"/>
      <c r="E5" s="7" t="s">
        <v>384</v>
      </c>
      <c r="F5" s="7" t="s">
        <v>385</v>
      </c>
      <c r="G5" s="6" t="s">
        <v>386</v>
      </c>
    </row>
    <row r="6" customFormat="false" ht="23.85" hidden="false" customHeight="false" outlineLevel="0" collapsed="false">
      <c r="A6" s="8" t="s">
        <v>387</v>
      </c>
      <c r="B6" s="10" t="s">
        <v>388</v>
      </c>
      <c r="C6" s="10" t="s">
        <v>389</v>
      </c>
      <c r="D6" s="45"/>
      <c r="E6" s="11" t="s">
        <v>343</v>
      </c>
      <c r="F6" s="11" t="s">
        <v>385</v>
      </c>
      <c r="G6" s="10" t="s">
        <v>390</v>
      </c>
    </row>
    <row r="7" customFormat="false" ht="23.85" hidden="false" customHeight="false" outlineLevel="0" collapsed="false">
      <c r="A7" s="4" t="s">
        <v>391</v>
      </c>
      <c r="B7" s="6" t="s">
        <v>392</v>
      </c>
      <c r="C7" s="6" t="s">
        <v>393</v>
      </c>
      <c r="D7" s="44"/>
      <c r="E7" s="7" t="s">
        <v>394</v>
      </c>
      <c r="F7" s="7" t="s">
        <v>385</v>
      </c>
      <c r="G7" s="6" t="s">
        <v>395</v>
      </c>
    </row>
    <row r="8" customFormat="false" ht="15" hidden="false" customHeight="false" outlineLevel="0" collapsed="false">
      <c r="A8" s="8" t="s">
        <v>396</v>
      </c>
      <c r="B8" s="10" t="s">
        <v>397</v>
      </c>
      <c r="C8" s="10" t="s">
        <v>398</v>
      </c>
      <c r="D8" s="45"/>
      <c r="E8" s="11" t="s">
        <v>399</v>
      </c>
      <c r="F8" s="11" t="s">
        <v>385</v>
      </c>
      <c r="G8" s="10" t="s">
        <v>400</v>
      </c>
    </row>
    <row r="9" customFormat="false" ht="15" hidden="false" customHeight="false" outlineLevel="0" collapsed="false">
      <c r="A9" s="4" t="s">
        <v>401</v>
      </c>
      <c r="B9" s="6" t="s">
        <v>402</v>
      </c>
      <c r="C9" s="6" t="s">
        <v>403</v>
      </c>
      <c r="D9" s="44"/>
      <c r="E9" s="7" t="s">
        <v>399</v>
      </c>
      <c r="F9" s="7" t="s">
        <v>385</v>
      </c>
      <c r="G9" s="6" t="s">
        <v>404</v>
      </c>
    </row>
    <row r="10" customFormat="false" ht="23.85" hidden="false" customHeight="false" outlineLevel="0" collapsed="false">
      <c r="A10" s="8" t="s">
        <v>405</v>
      </c>
      <c r="B10" s="10" t="s">
        <v>406</v>
      </c>
      <c r="C10" s="10" t="s">
        <v>407</v>
      </c>
      <c r="D10" s="45"/>
      <c r="E10" s="11" t="s">
        <v>364</v>
      </c>
      <c r="F10" s="11" t="s">
        <v>385</v>
      </c>
      <c r="G10" s="10" t="s">
        <v>408</v>
      </c>
    </row>
    <row r="11" customFormat="false" ht="15" hidden="false" customHeight="false" outlineLevel="0" collapsed="false">
      <c r="A11" s="4" t="s">
        <v>409</v>
      </c>
      <c r="B11" s="6" t="s">
        <v>410</v>
      </c>
      <c r="C11" s="6" t="s">
        <v>411</v>
      </c>
      <c r="D11" s="44"/>
      <c r="E11" s="7" t="s">
        <v>412</v>
      </c>
      <c r="F11" s="7" t="s">
        <v>385</v>
      </c>
      <c r="G11" s="6" t="s">
        <v>413</v>
      </c>
    </row>
    <row r="12" customFormat="false" ht="23.85" hidden="false" customHeight="false" outlineLevel="0" collapsed="false">
      <c r="A12" s="8" t="s">
        <v>414</v>
      </c>
      <c r="B12" s="10" t="s">
        <v>164</v>
      </c>
      <c r="C12" s="10" t="s">
        <v>415</v>
      </c>
      <c r="D12" s="45"/>
      <c r="E12" s="11" t="s">
        <v>349</v>
      </c>
      <c r="F12" s="11" t="s">
        <v>385</v>
      </c>
      <c r="G12" s="10" t="s">
        <v>416</v>
      </c>
    </row>
    <row r="14" customFormat="false" ht="15" hidden="false" customHeight="false" outlineLevel="0" collapsed="false">
      <c r="B14" s="19" t="s">
        <v>417</v>
      </c>
    </row>
  </sheetData>
  <conditionalFormatting sqref="F5:F12">
    <cfRule type="cellIs" priority="2" operator="equal" aboveAverage="0" equalAverage="0" bottom="0" percent="0" rank="0" text="" dxfId="0">
      <formula>"Met"</formula>
    </cfRule>
    <cfRule type="cellIs" priority="3" operator="equal" aboveAverage="0" equalAverage="0" bottom="0" percent="0" rank="0" text="" dxfId="1">
      <formula>"Missed"</formula>
    </cfRule>
    <cfRule type="cellIs" priority="4" operator="equal" aboveAverage="0" equalAverage="0" bottom="0" percent="0" rank="0" text="" dxfId="2">
      <formula>"At risk"</formula>
    </cfRule>
  </conditionalFormatting>
  <dataValidations count="1">
    <dataValidation allowBlank="true" errorStyle="stop" operator="between" showDropDown="false" showErrorMessage="false" showInputMessage="false" sqref="F5:F12" type="list">
      <formula1>"Pending,On track,At risk,Met,Missed,Descoped"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4"/>
    <col collapsed="false" customWidth="true" hidden="false" outlineLevel="0" max="3" min="3" style="0" width="3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32"/>
  </cols>
  <sheetData>
    <row r="1" customFormat="false" ht="19.5" hidden="false" customHeight="true" outlineLevel="0" collapsed="false">
      <c r="A1" s="1" t="s">
        <v>418</v>
      </c>
    </row>
    <row r="2" customFormat="false" ht="15" hidden="false" customHeight="false" outlineLevel="0" collapsed="false">
      <c r="A2" s="2" t="s">
        <v>419</v>
      </c>
    </row>
    <row r="4" customFormat="false" ht="27.75" hidden="false" customHeight="true" outlineLevel="0" collapsed="false">
      <c r="A4" s="3" t="s">
        <v>330</v>
      </c>
      <c r="B4" s="3" t="s">
        <v>420</v>
      </c>
      <c r="C4" s="3" t="s">
        <v>421</v>
      </c>
      <c r="D4" s="3" t="s">
        <v>422</v>
      </c>
      <c r="E4" s="3" t="s">
        <v>9</v>
      </c>
      <c r="F4" s="3" t="s">
        <v>423</v>
      </c>
    </row>
    <row r="5" customFormat="false" ht="39.75" hidden="false" customHeight="true" outlineLevel="0" collapsed="false">
      <c r="A5" s="4" t="s">
        <v>424</v>
      </c>
      <c r="B5" s="6" t="s">
        <v>425</v>
      </c>
      <c r="C5" s="6" t="s">
        <v>426</v>
      </c>
      <c r="D5" s="7" t="s">
        <v>427</v>
      </c>
      <c r="E5" s="7" t="s">
        <v>428</v>
      </c>
      <c r="F5" s="52"/>
    </row>
    <row r="6" customFormat="false" ht="39.75" hidden="false" customHeight="true" outlineLevel="0" collapsed="false">
      <c r="A6" s="8" t="s">
        <v>429</v>
      </c>
      <c r="B6" s="10" t="s">
        <v>430</v>
      </c>
      <c r="C6" s="10" t="s">
        <v>431</v>
      </c>
      <c r="D6" s="11" t="s">
        <v>432</v>
      </c>
      <c r="E6" s="11" t="s">
        <v>428</v>
      </c>
      <c r="F6" s="53"/>
    </row>
    <row r="7" customFormat="false" ht="39.75" hidden="false" customHeight="true" outlineLevel="0" collapsed="false">
      <c r="A7" s="4" t="s">
        <v>433</v>
      </c>
      <c r="B7" s="6" t="s">
        <v>434</v>
      </c>
      <c r="C7" s="6" t="s">
        <v>435</v>
      </c>
      <c r="D7" s="7" t="s">
        <v>436</v>
      </c>
      <c r="E7" s="7" t="s">
        <v>428</v>
      </c>
      <c r="F7" s="52"/>
    </row>
    <row r="8" customFormat="false" ht="39.75" hidden="false" customHeight="true" outlineLevel="0" collapsed="false">
      <c r="A8" s="8" t="s">
        <v>437</v>
      </c>
      <c r="B8" s="10" t="s">
        <v>438</v>
      </c>
      <c r="C8" s="10" t="s">
        <v>439</v>
      </c>
      <c r="D8" s="11" t="s">
        <v>364</v>
      </c>
      <c r="E8" s="11" t="s">
        <v>428</v>
      </c>
      <c r="F8" s="53"/>
    </row>
    <row r="9" customFormat="false" ht="39.75" hidden="false" customHeight="true" outlineLevel="0" collapsed="false">
      <c r="A9" s="4" t="s">
        <v>440</v>
      </c>
      <c r="B9" s="6" t="s">
        <v>441</v>
      </c>
      <c r="C9" s="6" t="s">
        <v>442</v>
      </c>
      <c r="D9" s="7" t="s">
        <v>339</v>
      </c>
      <c r="E9" s="7" t="s">
        <v>428</v>
      </c>
      <c r="F9" s="52"/>
    </row>
    <row r="10" customFormat="false" ht="39.75" hidden="false" customHeight="true" outlineLevel="0" collapsed="false">
      <c r="A10" s="8" t="s">
        <v>443</v>
      </c>
      <c r="B10" s="10" t="s">
        <v>444</v>
      </c>
      <c r="C10" s="10" t="s">
        <v>445</v>
      </c>
      <c r="D10" s="11" t="s">
        <v>358</v>
      </c>
      <c r="E10" s="11" t="s">
        <v>428</v>
      </c>
      <c r="F10" s="53"/>
    </row>
    <row r="11" customFormat="false" ht="39.75" hidden="false" customHeight="true" outlineLevel="0" collapsed="false">
      <c r="A11" s="4" t="s">
        <v>446</v>
      </c>
      <c r="B11" s="6" t="s">
        <v>447</v>
      </c>
      <c r="C11" s="6" t="s">
        <v>448</v>
      </c>
      <c r="D11" s="7" t="s">
        <v>358</v>
      </c>
      <c r="E11" s="7" t="s">
        <v>428</v>
      </c>
      <c r="F11" s="52"/>
    </row>
  </sheetData>
  <conditionalFormatting sqref="E5:E11">
    <cfRule type="cellIs" priority="2" operator="equal" aboveAverage="0" equalAverage="0" bottom="0" percent="0" rank="0" text="" dxfId="0">
      <formula>"Answered"</formula>
    </cfRule>
    <cfRule type="cellIs" priority="3" operator="equal" aboveAverage="0" equalAverage="0" bottom="0" percent="0" rank="0" text="" dxfId="2">
      <formula>"Open"</formula>
    </cfRule>
  </conditionalFormatting>
  <dataValidations count="1">
    <dataValidation allowBlank="true" errorStyle="stop" operator="between" showDropDown="false" showErrorMessage="false" showInputMessage="false" sqref="E5:E11" type="list">
      <formula1>"Open,Answered,Blocked,Moot"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2026-07-28T10:10:03Z</dcterms:created>
  <dc:creator>openpyxl</dc:creator>
  <dc:description/>
  <dc:language>en-US</dc:language>
  <cp:lastModifiedBy/>
  <dcterms:modified xsi:type="dcterms:W3CDTF">2026-07-28T10:10:03Z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